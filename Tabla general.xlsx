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.000\Desktop\Documentos Channel 10\"/>
    </mc:Choice>
  </mc:AlternateContent>
  <xr:revisionPtr revIDLastSave="0" documentId="13_ncr:1_{1F364B3E-F09C-448F-96D2-50949E6B9FA5}" xr6:coauthVersionLast="45" xr6:coauthVersionMax="45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Organismo" sheetId="7" r:id="rId1"/>
    <sheet name="Trabajadores" sheetId="1" r:id="rId2"/>
    <sheet name="Percepciones" sheetId="2" r:id="rId3"/>
    <sheet name="Deducciones" sheetId="3" r:id="rId4"/>
    <sheet name="HorasExtra" sheetId="4" r:id="rId5"/>
    <sheet name="OtrosPagos" sheetId="6" r:id="rId6"/>
    <sheet name="Cat" sheetId="8" r:id="rId7"/>
    <sheet name="tablas isr art. 96" sheetId="11" r:id="rId8"/>
  </sheets>
  <externalReferences>
    <externalReference r:id="rId9"/>
  </externalReference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1" l="1"/>
  <c r="B14" i="11"/>
  <c r="B15" i="11"/>
  <c r="B16" i="11"/>
  <c r="B17" i="11"/>
  <c r="B18" i="11"/>
  <c r="B19" i="11"/>
  <c r="E2" i="6" l="1"/>
  <c r="F2" i="6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19" i="3" l="1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E55" i="2"/>
  <c r="G55" i="2"/>
  <c r="G37" i="2"/>
  <c r="T13" i="1" l="1"/>
  <c r="U13" i="1"/>
  <c r="Y13" i="1"/>
  <c r="Z13" i="1"/>
  <c r="AA13" i="1"/>
  <c r="AF13" i="1"/>
  <c r="AG13" i="1"/>
  <c r="AH13" i="1"/>
  <c r="AI13" i="1"/>
  <c r="AJ13" i="1"/>
  <c r="E20" i="3" l="1"/>
  <c r="F19" i="3"/>
  <c r="F20" i="3"/>
  <c r="E15" i="3"/>
  <c r="E16" i="3"/>
  <c r="E17" i="3"/>
  <c r="E18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F15" i="3"/>
  <c r="F16" i="3"/>
  <c r="F17" i="3"/>
  <c r="F18" i="3"/>
  <c r="W13" i="1" l="1"/>
  <c r="F2" i="3"/>
  <c r="F3" i="3"/>
  <c r="F4" i="3"/>
  <c r="F5" i="3"/>
  <c r="F6" i="3"/>
  <c r="F7" i="3"/>
  <c r="F8" i="3"/>
  <c r="F9" i="3"/>
  <c r="F10" i="3"/>
  <c r="AE13" i="1"/>
  <c r="F11" i="3"/>
  <c r="F12" i="3"/>
  <c r="F13" i="3"/>
  <c r="F14" i="3"/>
  <c r="B12" i="11"/>
  <c r="B20" i="11"/>
  <c r="B11" i="11"/>
  <c r="AD13" i="1" l="1"/>
  <c r="X15" i="1"/>
  <c r="X6" i="1"/>
  <c r="X7" i="1"/>
  <c r="X14" i="1"/>
  <c r="X9" i="1"/>
  <c r="X16" i="1"/>
  <c r="X11" i="1"/>
  <c r="X3" i="1"/>
  <c r="X18" i="1"/>
  <c r="F56" i="2"/>
  <c r="E56" i="2" s="1"/>
  <c r="F57" i="2"/>
  <c r="E57" i="2" s="1"/>
  <c r="F58" i="2"/>
  <c r="E58" i="2" s="1"/>
  <c r="F59" i="2"/>
  <c r="E59" i="2" s="1"/>
  <c r="F60" i="2"/>
  <c r="E60" i="2" s="1"/>
  <c r="F61" i="2"/>
  <c r="E61" i="2" s="1"/>
  <c r="F62" i="2"/>
  <c r="E62" i="2" s="1"/>
  <c r="F63" i="2"/>
  <c r="E63" i="2" s="1"/>
  <c r="F64" i="2"/>
  <c r="E64" i="2" s="1"/>
  <c r="F65" i="2"/>
  <c r="E65" i="2" s="1"/>
  <c r="F66" i="2"/>
  <c r="E66" i="2" s="1"/>
  <c r="F67" i="2"/>
  <c r="E67" i="2" s="1"/>
  <c r="F68" i="2"/>
  <c r="E68" i="2" s="1"/>
  <c r="F69" i="2"/>
  <c r="E69" i="2" s="1"/>
  <c r="F70" i="2"/>
  <c r="E70" i="2" s="1"/>
  <c r="F71" i="2"/>
  <c r="E71" i="2" s="1"/>
  <c r="F72" i="2"/>
  <c r="E72" i="2" s="1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T2" i="1"/>
  <c r="T3" i="1"/>
  <c r="T4" i="1"/>
  <c r="T5" i="1"/>
  <c r="T6" i="1"/>
  <c r="T7" i="1"/>
  <c r="T8" i="1"/>
  <c r="T9" i="1"/>
  <c r="T10" i="1"/>
  <c r="T11" i="1"/>
  <c r="T12" i="1"/>
  <c r="T14" i="1"/>
  <c r="T15" i="1"/>
  <c r="T16" i="1"/>
  <c r="T17" i="1"/>
  <c r="T18" i="1"/>
  <c r="T19" i="1"/>
  <c r="U2" i="1"/>
  <c r="U3" i="1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W2" i="1"/>
  <c r="W3" i="1"/>
  <c r="W4" i="1"/>
  <c r="W5" i="1"/>
  <c r="W6" i="1"/>
  <c r="W7" i="1"/>
  <c r="W8" i="1"/>
  <c r="W9" i="1"/>
  <c r="W10" i="1"/>
  <c r="W11" i="1"/>
  <c r="W12" i="1"/>
  <c r="W14" i="1"/>
  <c r="W15" i="1"/>
  <c r="W16" i="1"/>
  <c r="W17" i="1"/>
  <c r="W18" i="1"/>
  <c r="W19" i="1"/>
  <c r="X10" i="1"/>
  <c r="Y2" i="1"/>
  <c r="Y3" i="1"/>
  <c r="Y4" i="1"/>
  <c r="Y5" i="1"/>
  <c r="Y6" i="1"/>
  <c r="Y7" i="1"/>
  <c r="Y8" i="1"/>
  <c r="Y9" i="1"/>
  <c r="Y10" i="1"/>
  <c r="Y11" i="1"/>
  <c r="Y12" i="1"/>
  <c r="Y14" i="1"/>
  <c r="Y15" i="1"/>
  <c r="Y16" i="1"/>
  <c r="Y17" i="1"/>
  <c r="Y18" i="1"/>
  <c r="Y19" i="1"/>
  <c r="Z2" i="1"/>
  <c r="Z3" i="1"/>
  <c r="Z4" i="1"/>
  <c r="Z5" i="1"/>
  <c r="Z6" i="1"/>
  <c r="Z7" i="1"/>
  <c r="Z8" i="1"/>
  <c r="Z9" i="1"/>
  <c r="Z10" i="1"/>
  <c r="Z11" i="1"/>
  <c r="Z12" i="1"/>
  <c r="Z14" i="1"/>
  <c r="Z15" i="1"/>
  <c r="Z16" i="1"/>
  <c r="Z17" i="1"/>
  <c r="Z18" i="1"/>
  <c r="Z19" i="1"/>
  <c r="AA2" i="1"/>
  <c r="AA3" i="1"/>
  <c r="AA4" i="1"/>
  <c r="AA5" i="1"/>
  <c r="AA6" i="1"/>
  <c r="AA7" i="1"/>
  <c r="AA8" i="1"/>
  <c r="AA9" i="1"/>
  <c r="AA10" i="1"/>
  <c r="AA11" i="1"/>
  <c r="AA12" i="1"/>
  <c r="AA14" i="1"/>
  <c r="AA15" i="1"/>
  <c r="AA16" i="1"/>
  <c r="AA17" i="1"/>
  <c r="AA18" i="1"/>
  <c r="AA19" i="1"/>
  <c r="AD2" i="1"/>
  <c r="AD3" i="1"/>
  <c r="AD4" i="1"/>
  <c r="AD6" i="1"/>
  <c r="AD7" i="1"/>
  <c r="AD8" i="1"/>
  <c r="AD9" i="1"/>
  <c r="AD10" i="1"/>
  <c r="AD11" i="1"/>
  <c r="AD14" i="1"/>
  <c r="AD15" i="1"/>
  <c r="AD16" i="1"/>
  <c r="AD17" i="1"/>
  <c r="AD18" i="1"/>
  <c r="AD19" i="1"/>
  <c r="AE2" i="1"/>
  <c r="AE3" i="1"/>
  <c r="AE4" i="1"/>
  <c r="AE6" i="1"/>
  <c r="AE7" i="1"/>
  <c r="AE8" i="1"/>
  <c r="AE9" i="1"/>
  <c r="AE10" i="1"/>
  <c r="AE11" i="1"/>
  <c r="AE14" i="1"/>
  <c r="AE15" i="1"/>
  <c r="AE16" i="1"/>
  <c r="AE17" i="1"/>
  <c r="AE18" i="1"/>
  <c r="AE19" i="1"/>
  <c r="AF2" i="1"/>
  <c r="AF3" i="1"/>
  <c r="AF4" i="1"/>
  <c r="AF5" i="1"/>
  <c r="AF6" i="1"/>
  <c r="AF7" i="1"/>
  <c r="AF8" i="1"/>
  <c r="AF9" i="1"/>
  <c r="AF10" i="1"/>
  <c r="AF11" i="1"/>
  <c r="AF12" i="1"/>
  <c r="AF14" i="1"/>
  <c r="AF15" i="1"/>
  <c r="AF16" i="1"/>
  <c r="AF17" i="1"/>
  <c r="AF18" i="1"/>
  <c r="AF19" i="1"/>
  <c r="AG2" i="1"/>
  <c r="AG3" i="1"/>
  <c r="AG4" i="1"/>
  <c r="AG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H2" i="1"/>
  <c r="AH3" i="1"/>
  <c r="AH4" i="1"/>
  <c r="AH5" i="1"/>
  <c r="AH6" i="1"/>
  <c r="AH7" i="1"/>
  <c r="AH8" i="1"/>
  <c r="AH9" i="1"/>
  <c r="AH10" i="1"/>
  <c r="AH11" i="1"/>
  <c r="AH12" i="1"/>
  <c r="AH14" i="1"/>
  <c r="AH15" i="1"/>
  <c r="AH16" i="1"/>
  <c r="AH17" i="1"/>
  <c r="AH18" i="1"/>
  <c r="AH19" i="1"/>
  <c r="AI2" i="1"/>
  <c r="AI3" i="1"/>
  <c r="AI4" i="1"/>
  <c r="AI5" i="1"/>
  <c r="AI6" i="1"/>
  <c r="AI7" i="1"/>
  <c r="AI8" i="1"/>
  <c r="AI9" i="1"/>
  <c r="AI10" i="1"/>
  <c r="AI11" i="1"/>
  <c r="AI12" i="1"/>
  <c r="AI14" i="1"/>
  <c r="AI15" i="1"/>
  <c r="AI16" i="1"/>
  <c r="AI17" i="1"/>
  <c r="AI18" i="1"/>
  <c r="AI19" i="1"/>
  <c r="AJ2" i="1"/>
  <c r="AJ3" i="1"/>
  <c r="AJ4" i="1"/>
  <c r="AJ5" i="1"/>
  <c r="AJ6" i="1"/>
  <c r="AJ7" i="1"/>
  <c r="AJ8" i="1"/>
  <c r="AJ9" i="1"/>
  <c r="AJ10" i="1"/>
  <c r="AJ11" i="1"/>
  <c r="AJ12" i="1"/>
  <c r="AJ14" i="1"/>
  <c r="AJ15" i="1"/>
  <c r="AJ16" i="1"/>
  <c r="AJ17" i="1"/>
  <c r="AJ18" i="1"/>
  <c r="AJ19" i="1"/>
  <c r="X2" i="1" l="1"/>
  <c r="X19" i="1"/>
  <c r="X13" i="1"/>
  <c r="X5" i="1"/>
  <c r="X8" i="1"/>
  <c r="X17" i="1"/>
  <c r="X4" i="1"/>
  <c r="X12" i="1"/>
  <c r="AC13" i="1"/>
  <c r="AL13" i="1"/>
  <c r="AM13" i="1"/>
  <c r="AB13" i="1"/>
  <c r="G13" i="6" s="1"/>
  <c r="AK13" i="1"/>
  <c r="V13" i="1"/>
  <c r="AM12" i="1"/>
  <c r="AC17" i="1"/>
  <c r="AC18" i="1"/>
  <c r="AC2" i="1"/>
  <c r="AC8" i="1"/>
  <c r="AC16" i="1"/>
  <c r="V11" i="1"/>
  <c r="AC3" i="1"/>
  <c r="AC7" i="1"/>
  <c r="AC4" i="1"/>
  <c r="V5" i="1"/>
  <c r="AC12" i="1"/>
  <c r="AC15" i="1"/>
  <c r="AB15" i="1"/>
  <c r="G15" i="6" s="1"/>
  <c r="V18" i="1"/>
  <c r="V19" i="1"/>
  <c r="AC11" i="1"/>
  <c r="AC10" i="1"/>
  <c r="AC19" i="1"/>
  <c r="AC6" i="1"/>
  <c r="AC5" i="1"/>
  <c r="AB9" i="1"/>
  <c r="G9" i="6" s="1"/>
  <c r="AB14" i="1"/>
  <c r="G14" i="6" s="1"/>
  <c r="AB10" i="1"/>
  <c r="G10" i="6" s="1"/>
  <c r="AL4" i="1"/>
  <c r="AB18" i="1"/>
  <c r="G18" i="6" s="1"/>
  <c r="AB11" i="1"/>
  <c r="G11" i="6" s="1"/>
  <c r="AB2" i="1"/>
  <c r="G2" i="6" s="1"/>
  <c r="AL11" i="1"/>
  <c r="AL14" i="1"/>
  <c r="AL9" i="1"/>
  <c r="AM15" i="1"/>
  <c r="AB5" i="1"/>
  <c r="G5" i="6" s="1"/>
  <c r="AM18" i="1"/>
  <c r="AK3" i="1"/>
  <c r="AL6" i="1"/>
  <c r="V8" i="1"/>
  <c r="V16" i="1"/>
  <c r="AM17" i="1"/>
  <c r="V9" i="1"/>
  <c r="V14" i="1"/>
  <c r="AC14" i="1"/>
  <c r="AC9" i="1"/>
  <c r="V10" i="1"/>
  <c r="AK10" i="1"/>
  <c r="AK9" i="1"/>
  <c r="AL3" i="1"/>
  <c r="AL2" i="1"/>
  <c r="AM16" i="1"/>
  <c r="V3" i="1"/>
  <c r="AB19" i="1"/>
  <c r="G19" i="6" s="1"/>
  <c r="V6" i="1"/>
  <c r="AK6" i="1"/>
  <c r="AK14" i="1"/>
  <c r="AB17" i="1"/>
  <c r="G17" i="6" s="1"/>
  <c r="V7" i="1"/>
  <c r="V4" i="1"/>
  <c r="V12" i="1"/>
  <c r="AL18" i="1"/>
  <c r="AM14" i="1"/>
  <c r="V17" i="1"/>
  <c r="V2" i="1"/>
  <c r="AM11" i="1"/>
  <c r="AM9" i="1"/>
  <c r="AM3" i="1"/>
  <c r="AB8" i="1"/>
  <c r="G8" i="6" s="1"/>
  <c r="AK4" i="1"/>
  <c r="AB6" i="1"/>
  <c r="G6" i="6" s="1"/>
  <c r="AB3" i="1"/>
  <c r="AB16" i="1"/>
  <c r="G16" i="6" s="1"/>
  <c r="AB12" i="1"/>
  <c r="G12" i="6" s="1"/>
  <c r="AB7" i="1"/>
  <c r="G7" i="6" s="1"/>
  <c r="AK8" i="1"/>
  <c r="AB4" i="1"/>
  <c r="G4" i="6" s="1"/>
  <c r="AK12" i="1"/>
  <c r="AK16" i="1"/>
  <c r="AL8" i="1"/>
  <c r="AM2" i="1"/>
  <c r="AK2" i="1"/>
  <c r="AM4" i="1"/>
  <c r="AL16" i="1"/>
  <c r="AK19" i="1"/>
  <c r="AM19" i="1"/>
  <c r="AK7" i="1"/>
  <c r="AM7" i="1"/>
  <c r="AK17" i="1"/>
  <c r="AL17" i="1"/>
  <c r="AK15" i="1"/>
  <c r="AL15" i="1"/>
  <c r="AK5" i="1"/>
  <c r="AL5" i="1"/>
  <c r="AM5" i="1"/>
  <c r="AM10" i="1"/>
  <c r="AM6" i="1"/>
  <c r="AL19" i="1"/>
  <c r="AL12" i="1"/>
  <c r="AL10" i="1"/>
  <c r="AL7" i="1"/>
  <c r="AK18" i="1"/>
  <c r="AK11" i="1"/>
  <c r="AM8" i="1"/>
  <c r="G3" i="6" l="1"/>
  <c r="V15" i="1"/>
  <c r="AE12" i="1" l="1"/>
  <c r="AD12" i="1"/>
  <c r="AD5" i="1"/>
  <c r="AE5" i="1"/>
  <c r="J2" i="7" l="1"/>
  <c r="K2" i="7"/>
  <c r="C3" i="7" s="1"/>
  <c r="L2" i="7"/>
  <c r="F2" i="4" l="1"/>
</calcChain>
</file>

<file path=xl/sharedStrings.xml><?xml version="1.0" encoding="utf-8"?>
<sst xmlns="http://schemas.openxmlformats.org/spreadsheetml/2006/main" count="1019" uniqueCount="512">
  <si>
    <t>RFC Trabajador</t>
  </si>
  <si>
    <t>Nombre Trabajador</t>
  </si>
  <si>
    <t>Tipo de Nómina</t>
  </si>
  <si>
    <t>Periodicidad de Pago</t>
  </si>
  <si>
    <t>Fecha de Pago</t>
  </si>
  <si>
    <t>Fecha Inicial de pago</t>
  </si>
  <si>
    <t>Trabajador</t>
  </si>
  <si>
    <t>Fecha Final de pago</t>
  </si>
  <si>
    <t>Numero de días pagados</t>
  </si>
  <si>
    <t>CURP</t>
  </si>
  <si>
    <t>Total de Percepciones</t>
  </si>
  <si>
    <t>Total de Deducciones</t>
  </si>
  <si>
    <t>Total de Otros Pagos</t>
  </si>
  <si>
    <t>NSS</t>
  </si>
  <si>
    <t>Fecha Inicio Relación Laboral</t>
  </si>
  <si>
    <t>Antigüedad</t>
  </si>
  <si>
    <t>Tipo de Contrato</t>
  </si>
  <si>
    <t>Tipo de Régimen</t>
  </si>
  <si>
    <t>Número de Empleado</t>
  </si>
  <si>
    <t>Departamento</t>
  </si>
  <si>
    <t>Puesto</t>
  </si>
  <si>
    <t>Importe</t>
  </si>
  <si>
    <t>Correo Electrónico</t>
  </si>
  <si>
    <t>CC</t>
  </si>
  <si>
    <t>CCO</t>
  </si>
  <si>
    <t>Total Gravado</t>
  </si>
  <si>
    <t>Total Exento</t>
  </si>
  <si>
    <t>Clave Percepción</t>
  </si>
  <si>
    <t>Percepción</t>
  </si>
  <si>
    <t>Clave</t>
  </si>
  <si>
    <t>Concepto</t>
  </si>
  <si>
    <t>Importe Gravado</t>
  </si>
  <si>
    <t>Total Otras Deducciones</t>
  </si>
  <si>
    <t>Total Impuestos Retenidos</t>
  </si>
  <si>
    <t>Clave Deducción</t>
  </si>
  <si>
    <t>Deducción</t>
  </si>
  <si>
    <t>Días</t>
  </si>
  <si>
    <t>Tipo de Horas</t>
  </si>
  <si>
    <t>Horas Extra</t>
  </si>
  <si>
    <t>Importe Pagado</t>
  </si>
  <si>
    <t>Tipo de Otro Pago</t>
  </si>
  <si>
    <t>Clave de Tipo de Otro Pago</t>
  </si>
  <si>
    <t>Versión</t>
  </si>
  <si>
    <t>Serie</t>
  </si>
  <si>
    <t>Forma de Pago</t>
  </si>
  <si>
    <t>Método de Pago</t>
  </si>
  <si>
    <t>Tipo de Comprobante</t>
  </si>
  <si>
    <t>Moneda</t>
  </si>
  <si>
    <t>MXN</t>
  </si>
  <si>
    <t>Código Postal</t>
  </si>
  <si>
    <t>Clave Tipo de Nómina</t>
  </si>
  <si>
    <t>O</t>
  </si>
  <si>
    <t>E</t>
  </si>
  <si>
    <t>Nómina Ordinaria</t>
  </si>
  <si>
    <t>Nómina Extraordinaria</t>
  </si>
  <si>
    <t>Diario</t>
  </si>
  <si>
    <t>Semanal</t>
  </si>
  <si>
    <t>Catorcenal</t>
  </si>
  <si>
    <t>Quincenal</t>
  </si>
  <si>
    <t>Mensual</t>
  </si>
  <si>
    <t>Bimestral</t>
  </si>
  <si>
    <t>Unidad obra</t>
  </si>
  <si>
    <t>Comisión</t>
  </si>
  <si>
    <t>Precio alzado</t>
  </si>
  <si>
    <t>Decenal</t>
  </si>
  <si>
    <t>Otra Periodicidad</t>
  </si>
  <si>
    <t>c_PeriodicidadPago</t>
  </si>
  <si>
    <t>Descripción</t>
  </si>
  <si>
    <t>Clave Periodicidad de Pago</t>
  </si>
  <si>
    <t>Consecutivo Trabajador</t>
  </si>
  <si>
    <t>c_TipoContrato</t>
  </si>
  <si>
    <t>Contrato de trabajo por tiempo indeterminado</t>
  </si>
  <si>
    <t>Contrato de trabajo para obra determinada</t>
  </si>
  <si>
    <t>Contrato de trabajo por temporada</t>
  </si>
  <si>
    <t>Contrato de trabajo sujeto a prueba</t>
  </si>
  <si>
    <t>Contrato de trabajo con capacitación inicial</t>
  </si>
  <si>
    <t>Modalidad de contratación por pago de hora laborada</t>
  </si>
  <si>
    <t>Modalidad de trabajo por comisión laboral</t>
  </si>
  <si>
    <t>Modalidades de contratación donde no existe relación de trabajo</t>
  </si>
  <si>
    <t>Jubilación, pensión, retiro.</t>
  </si>
  <si>
    <t>Otro contrato</t>
  </si>
  <si>
    <t>Clave Tipo de Contrato</t>
  </si>
  <si>
    <t>c_TipoRegimen</t>
  </si>
  <si>
    <t>Sueldos</t>
  </si>
  <si>
    <t>Jubilados</t>
  </si>
  <si>
    <t>Pensionados</t>
  </si>
  <si>
    <t>Asimilados Miembros Sociedades Cooperativas Produccion</t>
  </si>
  <si>
    <t>Asimilados Integrantes Sociedades Asociaciones Civiles</t>
  </si>
  <si>
    <t>Asimilados Miembros consejos</t>
  </si>
  <si>
    <t>Asimilados comisionistas</t>
  </si>
  <si>
    <t>Asimilados Honorarios</t>
  </si>
  <si>
    <t>Asimilados acciones</t>
  </si>
  <si>
    <t>Asimilados otros</t>
  </si>
  <si>
    <t>Jubilados o Pensionados</t>
  </si>
  <si>
    <t>Otro Regimen</t>
  </si>
  <si>
    <t>Clave Tipo de Régimen</t>
  </si>
  <si>
    <t>c_TipoPercepcion</t>
  </si>
  <si>
    <t>Sueldos, Salarios  Rayas y Jornales</t>
  </si>
  <si>
    <t>Gratificación Anual (Aguinaldo)</t>
  </si>
  <si>
    <t>Participación de los Trabajadores en las Utilidades PTU</t>
  </si>
  <si>
    <t>Reembolso de Gastos Médicos Dentales y Hospitalarios</t>
  </si>
  <si>
    <t>Fondo de Ahorro</t>
  </si>
  <si>
    <t>Caja de ahorro</t>
  </si>
  <si>
    <t>Contribuciones a Cargo del Trabajador Pagadas por el Patrón</t>
  </si>
  <si>
    <t>Premios por puntualidad</t>
  </si>
  <si>
    <t>Prima de Seguro de vida</t>
  </si>
  <si>
    <t>Seguro de Gastos Médicos Mayores</t>
  </si>
  <si>
    <t>Cuotas Sindicales Pagadas por el Patrón</t>
  </si>
  <si>
    <t>Subsidios por incapacidad</t>
  </si>
  <si>
    <t>Becas para trabajadores y/o hijos</t>
  </si>
  <si>
    <t>Horas extra</t>
  </si>
  <si>
    <t>Prima dominical</t>
  </si>
  <si>
    <t>Prima vacacional</t>
  </si>
  <si>
    <t>Prima por antigüedad</t>
  </si>
  <si>
    <t>Pagos por separación</t>
  </si>
  <si>
    <t>Seguro de retiro</t>
  </si>
  <si>
    <t>Indemnizaciones</t>
  </si>
  <si>
    <t>Reembolso por funeral</t>
  </si>
  <si>
    <t>Cuotas de seguridad social pagadas por el patrón</t>
  </si>
  <si>
    <t>Comisiones</t>
  </si>
  <si>
    <t>Vales de despensa</t>
  </si>
  <si>
    <t>Vales de restaurante</t>
  </si>
  <si>
    <t>Vales de gasolina</t>
  </si>
  <si>
    <t>Vales de ropa</t>
  </si>
  <si>
    <t>Ayuda para renta</t>
  </si>
  <si>
    <t>Ayuda para artículos escolares</t>
  </si>
  <si>
    <t>Ayuda para anteojos</t>
  </si>
  <si>
    <t>Ayuda para transporte</t>
  </si>
  <si>
    <t>Ayuda para gastos de funeral</t>
  </si>
  <si>
    <t>Otros ingresos por salarios</t>
  </si>
  <si>
    <t>Jubilaciones, pensiones o haberes de retiro</t>
  </si>
  <si>
    <t>Jubilaciones, pensiones o haberes de retiro en parcialidades</t>
  </si>
  <si>
    <t>Ingresos en acciones o títulos valor que representan bienes</t>
  </si>
  <si>
    <t> 046</t>
  </si>
  <si>
    <t>Ingresos asimilados a salarios</t>
  </si>
  <si>
    <t> 047</t>
  </si>
  <si>
    <t>Alimentación</t>
  </si>
  <si>
    <t>Habitación</t>
  </si>
  <si>
    <t>Premios por asistencia</t>
  </si>
  <si>
    <t>Viáticos</t>
  </si>
  <si>
    <t>c_TipoDeduccion</t>
  </si>
  <si>
    <t>Seguridad social</t>
  </si>
  <si>
    <t>ISR</t>
  </si>
  <si>
    <t>Aportaciones a retiro, cesantía en edad avanzada y vejez.</t>
  </si>
  <si>
    <t>Otros</t>
  </si>
  <si>
    <t>Aportaciones a Fondo de vivienda</t>
  </si>
  <si>
    <t>Descuento por incapacidad</t>
  </si>
  <si>
    <t>Pensión alimenticia</t>
  </si>
  <si>
    <t>Renta</t>
  </si>
  <si>
    <t>Préstamos provenientes del Fondo Nacional de la Vivienda para los Trabajadores</t>
  </si>
  <si>
    <t>Pago por crédito de vivienda</t>
  </si>
  <si>
    <t>Pago de abonos INFONACOT</t>
  </si>
  <si>
    <t>Anticipo de salarios</t>
  </si>
  <si>
    <t>Pagos hechos con exceso al trabajador</t>
  </si>
  <si>
    <t>Errores</t>
  </si>
  <si>
    <t>Pérdidas</t>
  </si>
  <si>
    <t>Averías</t>
  </si>
  <si>
    <t>Adquisición de artículos producidos por la empresa o establecimiento</t>
  </si>
  <si>
    <t>Cuotas para la constitución y fomento de sociedades cooperativas y de cajas de ahorro</t>
  </si>
  <si>
    <t>Cuotas sindicales</t>
  </si>
  <si>
    <t>Ausencia (Ausentismo)</t>
  </si>
  <si>
    <t>Cuotas obrero patronales</t>
  </si>
  <si>
    <t>Impuestos Locales</t>
  </si>
  <si>
    <t>Aportaciones voluntarias</t>
  </si>
  <si>
    <t>Ajuste en Gratificación Anual (Aguinaldo) Exento</t>
  </si>
  <si>
    <t>Ajuste en Gratificación Anual (Aguinaldo) Gravado</t>
  </si>
  <si>
    <t>Ajuste en Participación de los Trabajadores en las Utilidades PTU Exento</t>
  </si>
  <si>
    <t>Ajuste en Participación de los Trabajadores en las Utilidades PTU Gravado</t>
  </si>
  <si>
    <t>Ajuste en Reembolso de Gastos Médicos Dentales y Hospitalarios Exento</t>
  </si>
  <si>
    <t>Ajuste en Fondo de ahorro Exento</t>
  </si>
  <si>
    <t>Ajuste en Caja de ahorro Exento</t>
  </si>
  <si>
    <t>Ajuste en Contribuciones a Cargo del Trabajador Pagadas por el Patrón Exento</t>
  </si>
  <si>
    <t>Ajuste en Premios por puntualidad Gravado</t>
  </si>
  <si>
    <t>Ajuste en Prima de Seguro de vida Exento</t>
  </si>
  <si>
    <t>Ajuste en Seguro de Gastos Médicos Mayores Exento</t>
  </si>
  <si>
    <t>Ajuste en Cuotas Sindicales Pagadas por el Patrón Exento</t>
  </si>
  <si>
    <t>Ajuste en Subsidios por incapacidad Exento</t>
  </si>
  <si>
    <t>Ajuste en Becas para trabajadores y/o hijos Exento</t>
  </si>
  <si>
    <t>Ajuste en Horas extra Exento</t>
  </si>
  <si>
    <t>Ajuste en Horas extra Gravado</t>
  </si>
  <si>
    <t>Ajuste en Prima dominical Exento</t>
  </si>
  <si>
    <t>Ajuste en Prima dominical Gravado</t>
  </si>
  <si>
    <t>Ajuste en Prima vacacional Exento</t>
  </si>
  <si>
    <t>Ajuste en Prima vacacional Gravado</t>
  </si>
  <si>
    <t>Ajuste en Prima por antigüedad Exento</t>
  </si>
  <si>
    <t>Ajuste en Prima por antigüedad Gravado</t>
  </si>
  <si>
    <t>Ajuste en Pagos por separación Exento</t>
  </si>
  <si>
    <t>Ajuste en Pagos por separación Gravado</t>
  </si>
  <si>
    <t>Ajuste en Seguro de retiro Exento</t>
  </si>
  <si>
    <t>Ajuste en Indemnizaciones Exento</t>
  </si>
  <si>
    <t>Ajuste en Indemnizaciones Gravado</t>
  </si>
  <si>
    <t>Ajuste en Reembolso por funeral Exento</t>
  </si>
  <si>
    <t>Ajuste en Cuotas de seguridad social pagadas por el patrón Exento</t>
  </si>
  <si>
    <t>Ajuste en Comisiones Gravado</t>
  </si>
  <si>
    <t>Ajuste en Vales de despensa Exento</t>
  </si>
  <si>
    <t>Ajuste en Vales de restaurante Exento</t>
  </si>
  <si>
    <t>Ajuste en Vales de gasolina Exento</t>
  </si>
  <si>
    <t>Ajuste en Vales de ropa Exento</t>
  </si>
  <si>
    <t>Ajuste en Ayuda para renta Exento</t>
  </si>
  <si>
    <t>Ajuste en Ayuda para artículos escolares Exento</t>
  </si>
  <si>
    <t>Ajuste en Ayuda para anteojos Exento</t>
  </si>
  <si>
    <t>Ajuste en Ayuda para transporte Exento</t>
  </si>
  <si>
    <t>Ajuste en Ayuda para gastos de funeral Exento</t>
  </si>
  <si>
    <t>Ajuste en Otros ingresos por salarios Exento</t>
  </si>
  <si>
    <t>Ajuste en Otros ingresos por salarios Gravado</t>
  </si>
  <si>
    <t>Ajuste en Jubilaciones, pensiones o haberes de retiro Exento</t>
  </si>
  <si>
    <t>Ajuste en Jubilaciones, pensiones o haberes de retiro Gravado</t>
  </si>
  <si>
    <t>Ajuste en Pagos por separación Acumulable</t>
  </si>
  <si>
    <t>Ajuste en Pagos por separación No acumulable</t>
  </si>
  <si>
    <t>Ajuste en Jubilaciones, pensiones o haberes de retiro Acumulable</t>
  </si>
  <si>
    <t>Ajuste en Jubilaciones, pensiones o haberes de retiro No acumulable</t>
  </si>
  <si>
    <t>Ajuste en Subsidio para el empleo (efectivamente entregado al trabajador)</t>
  </si>
  <si>
    <t>Ajuste en Ingresos en acciones o títulos valor que representan bienes Exento</t>
  </si>
  <si>
    <t>Ajuste en Ingresos en acciones o títulos valor que representan bienes Gravado</t>
  </si>
  <si>
    <t>Ajuste en Alimentación Exento</t>
  </si>
  <si>
    <t>Ajuste en Alimentación Gravado</t>
  </si>
  <si>
    <t>Ajuste en Habitación Exento</t>
  </si>
  <si>
    <t>Ajuste en Habitación Gravado</t>
  </si>
  <si>
    <t>Ajuste en Premios por asistencia</t>
  </si>
  <si>
    <t>Ajuste en Pagos distintos a los listados y que no deben considerarse como ingreso por sueldos, salarios o ingresos asimilados.</t>
  </si>
  <si>
    <t>Ajuste en Viáticos gravados</t>
  </si>
  <si>
    <t>Ajuste en Viáticos (entregados al trabajador)</t>
  </si>
  <si>
    <t>082</t>
  </si>
  <si>
    <t>Ajuste en Fondo de ahorro Gravado</t>
  </si>
  <si>
    <t>083</t>
  </si>
  <si>
    <t>Ajuste en Caja de ahorro Gravado</t>
  </si>
  <si>
    <t>084</t>
  </si>
  <si>
    <t>Ajuste en Prima de Seguro de vida Gravado</t>
  </si>
  <si>
    <t>085</t>
  </si>
  <si>
    <t>Ajuste en Seguro de Gastos Médicos Mayores Gravado</t>
  </si>
  <si>
    <t>086</t>
  </si>
  <si>
    <t>Ajuste en Subsidios por incapacidad Gravado</t>
  </si>
  <si>
    <t>087</t>
  </si>
  <si>
    <t>Ajuste en Becas para trabajadores y/o hijos Gravado</t>
  </si>
  <si>
    <t>088</t>
  </si>
  <si>
    <t>Ajuste en Seguro de retiro Gravado</t>
  </si>
  <si>
    <t>089</t>
  </si>
  <si>
    <t>Ajuste en Vales de despensa Gravado</t>
  </si>
  <si>
    <t>090</t>
  </si>
  <si>
    <t>Ajuste en Vales de restaurante Gravado</t>
  </si>
  <si>
    <t>091</t>
  </si>
  <si>
    <t>Ajuste en Vales de gasolina Gravado</t>
  </si>
  <si>
    <t>092</t>
  </si>
  <si>
    <t>Ajuste en Vales de ropa Gravado</t>
  </si>
  <si>
    <t>093</t>
  </si>
  <si>
    <t>Ajuste en Ayuda para renta Gravado</t>
  </si>
  <si>
    <t>094</t>
  </si>
  <si>
    <t>Ajuste en Ayuda para artículos escolares Gravado</t>
  </si>
  <si>
    <t>095</t>
  </si>
  <si>
    <t>Ajuste en Ayuda para anteojos Gravado</t>
  </si>
  <si>
    <t>096</t>
  </si>
  <si>
    <t>Ajuste en Ayuda para transporte Gravado</t>
  </si>
  <si>
    <t>097</t>
  </si>
  <si>
    <t>Ajuste en Ayuda para gastos de funeral Gravado</t>
  </si>
  <si>
    <t>098</t>
  </si>
  <si>
    <t>Ajuste a ingresos asimilados a salarios gravados</t>
  </si>
  <si>
    <t>099</t>
  </si>
  <si>
    <t>Ajuste a ingresos por sueldos y salarios gravados</t>
  </si>
  <si>
    <t>Ajuste en Viáticos exentos</t>
  </si>
  <si>
    <t xml:space="preserve"> c_TipoOtroPago</t>
  </si>
  <si>
    <t>Reintegro de ISR pagado en exceso (siempre que no haya sido enterado al SAT).</t>
  </si>
  <si>
    <t>Subsidio para el empleo (efectivamente entregado al trabajador).</t>
  </si>
  <si>
    <t>Viáticos (entregados al trabajador).</t>
  </si>
  <si>
    <t>Aplicación de saldo a favor por compensación anual.</t>
  </si>
  <si>
    <t>Pagos distintos a los listados y que no deben considerarse como ingreso por sueldos, salarios o ingresos asimilados.</t>
  </si>
  <si>
    <t>c_TipoHoras</t>
  </si>
  <si>
    <t>Dobles</t>
  </si>
  <si>
    <t>Triples</t>
  </si>
  <si>
    <t>Simples</t>
  </si>
  <si>
    <t>Clave Tipo de Horas</t>
  </si>
  <si>
    <t>N</t>
  </si>
  <si>
    <t>PUE</t>
  </si>
  <si>
    <t>Nombre del Organismo</t>
  </si>
  <si>
    <t>RFC del Organismo</t>
  </si>
  <si>
    <t>Régimen Fiscal del Organismo</t>
  </si>
  <si>
    <t>Riesgo de Puesto</t>
  </si>
  <si>
    <t>Salario Diario Integrado</t>
  </si>
  <si>
    <t>Registro Patronal del Organismo</t>
  </si>
  <si>
    <t>Origen del Recurso</t>
  </si>
  <si>
    <t>c_OrigenRecurso</t>
  </si>
  <si>
    <t>IP</t>
  </si>
  <si>
    <t>IF</t>
  </si>
  <si>
    <t>IM</t>
  </si>
  <si>
    <t>Ingresos propios</t>
  </si>
  <si>
    <t>Ingreso federales</t>
  </si>
  <si>
    <t>Ingresos mixtos</t>
  </si>
  <si>
    <t>Monto Recurso Propio</t>
  </si>
  <si>
    <t>ClaveOrigen del Recurso2</t>
  </si>
  <si>
    <t>Entidad Federativa</t>
  </si>
  <si>
    <t>c_Estado</t>
  </si>
  <si>
    <t>c_Pais</t>
  </si>
  <si>
    <t>Nombre del estado</t>
  </si>
  <si>
    <t>AGU</t>
  </si>
  <si>
    <t>MEX</t>
  </si>
  <si>
    <t>Aguascalientes</t>
  </si>
  <si>
    <t>BCN</t>
  </si>
  <si>
    <t>Baja California</t>
  </si>
  <si>
    <t>BCS</t>
  </si>
  <si>
    <t>Baja California Sur</t>
  </si>
  <si>
    <t>CAM</t>
  </si>
  <si>
    <t>Campeche</t>
  </si>
  <si>
    <t>CHP</t>
  </si>
  <si>
    <t>Chiapas</t>
  </si>
  <si>
    <t>CHH</t>
  </si>
  <si>
    <t>Chihuahua</t>
  </si>
  <si>
    <t>COA</t>
  </si>
  <si>
    <t>Coahuila</t>
  </si>
  <si>
    <t>COL</t>
  </si>
  <si>
    <t>Colima</t>
  </si>
  <si>
    <t>DIF</t>
  </si>
  <si>
    <t>Ciudad de México</t>
  </si>
  <si>
    <t>DUR</t>
  </si>
  <si>
    <t>Durango</t>
  </si>
  <si>
    <t>GUA</t>
  </si>
  <si>
    <t>Guanajuato</t>
  </si>
  <si>
    <t>GRO</t>
  </si>
  <si>
    <t>Guerrero</t>
  </si>
  <si>
    <t>HID</t>
  </si>
  <si>
    <t>Hidalgo</t>
  </si>
  <si>
    <t>JAL</t>
  </si>
  <si>
    <t>Jalisco</t>
  </si>
  <si>
    <t>Estado de México</t>
  </si>
  <si>
    <t>MIC</t>
  </si>
  <si>
    <t>Michoacán</t>
  </si>
  <si>
    <t>MOR</t>
  </si>
  <si>
    <t>Morelos</t>
  </si>
  <si>
    <t>NAY</t>
  </si>
  <si>
    <t>Nayarit</t>
  </si>
  <si>
    <t>NLE</t>
  </si>
  <si>
    <t>Nuevo León</t>
  </si>
  <si>
    <t>OAX</t>
  </si>
  <si>
    <t>Oaxaca</t>
  </si>
  <si>
    <t>Puebla</t>
  </si>
  <si>
    <t>QUE</t>
  </si>
  <si>
    <t>Querétaro</t>
  </si>
  <si>
    <t>ROO</t>
  </si>
  <si>
    <t>Quintana Roo</t>
  </si>
  <si>
    <t>SLP</t>
  </si>
  <si>
    <t>San Luis Potosí</t>
  </si>
  <si>
    <t>SIN</t>
  </si>
  <si>
    <t>Sinaloa</t>
  </si>
  <si>
    <t>SON</t>
  </si>
  <si>
    <t>Sonora</t>
  </si>
  <si>
    <t>TAB</t>
  </si>
  <si>
    <t>Tabasco</t>
  </si>
  <si>
    <t>TAM</t>
  </si>
  <si>
    <t>Tamaulipas</t>
  </si>
  <si>
    <t>TLA</t>
  </si>
  <si>
    <t>Tlaxcala</t>
  </si>
  <si>
    <t>VER</t>
  </si>
  <si>
    <t>Veracruz</t>
  </si>
  <si>
    <t>YUC</t>
  </si>
  <si>
    <t>Yucatán</t>
  </si>
  <si>
    <t>ZAC</t>
  </si>
  <si>
    <t>Zacatecas</t>
  </si>
  <si>
    <t>ClaveEntidadFederativa</t>
  </si>
  <si>
    <t>ConteoPercepciones</t>
  </si>
  <si>
    <t>ConteoDeducciones</t>
  </si>
  <si>
    <t>ConteoHorasExtra</t>
  </si>
  <si>
    <t>ConteOtrosPagos</t>
  </si>
  <si>
    <t>c_RegimenFiscal</t>
  </si>
  <si>
    <t>General de Ley Personas Morales</t>
  </si>
  <si>
    <t>Personas Morales con Fines no Lucrativos</t>
  </si>
  <si>
    <t>Sueldos y Salarios e Ingresos Asimilados a Salarios</t>
  </si>
  <si>
    <t>Arrendamiento</t>
  </si>
  <si>
    <t>Demás ingresos</t>
  </si>
  <si>
    <t>Consolidación</t>
  </si>
  <si>
    <t>Residentes en el Extranjero sin Establecimiento Permanente en México</t>
  </si>
  <si>
    <t>Ingresos por Dividendos (socios y accionistas)</t>
  </si>
  <si>
    <t>Personas Físicas con Actividades Empresariales y Profesionales</t>
  </si>
  <si>
    <t>Ingresos por intereses</t>
  </si>
  <si>
    <t>Sin obligaciones fiscales</t>
  </si>
  <si>
    <t>Sociedades Cooperativas de Producción que optan por diferir sus ingresos</t>
  </si>
  <si>
    <t>Incorporación Fiscal</t>
  </si>
  <si>
    <t>Actividades Agrícolas, Ganaderas, Silvícolas y Pesqueras</t>
  </si>
  <si>
    <t>Opcional para Grupos de Sociedades</t>
  </si>
  <si>
    <t>Coordinados</t>
  </si>
  <si>
    <t>Hidrocarburos</t>
  </si>
  <si>
    <t>Régimen de Enajenación o Adquisición de Bienes</t>
  </si>
  <si>
    <t>De los Regímenes Fiscales Preferentes y de las Empresas Multinacionales</t>
  </si>
  <si>
    <t>Enajenación de acciones en bolsa de valores</t>
  </si>
  <si>
    <t>Régimen de los ingresos por obtención de premios</t>
  </si>
  <si>
    <t>Nómina Sindicalizada</t>
  </si>
  <si>
    <t>Sí</t>
  </si>
  <si>
    <t>No</t>
  </si>
  <si>
    <t>Sindicato</t>
  </si>
  <si>
    <t>Contrato de trabajo por tiempo determinado</t>
  </si>
  <si>
    <t>c_TipoJornada</t>
  </si>
  <si>
    <t>Diurna</t>
  </si>
  <si>
    <t>Nocturna</t>
  </si>
  <si>
    <t>Mixta</t>
  </si>
  <si>
    <t>Por hora</t>
  </si>
  <si>
    <t>Reducida</t>
  </si>
  <si>
    <t>Continuada</t>
  </si>
  <si>
    <t>Partida</t>
  </si>
  <si>
    <t>Por turnos</t>
  </si>
  <si>
    <t>Otra Jornada</t>
  </si>
  <si>
    <t>Tipo de Jornada</t>
  </si>
  <si>
    <t>ClaveJornada</t>
  </si>
  <si>
    <t>TotalSueldos</t>
  </si>
  <si>
    <t>TotalSeparacionIndemnizacion</t>
  </si>
  <si>
    <t>TotalJubilacionPensionRetiro</t>
  </si>
  <si>
    <t>SUBSIDIO CAUSADO</t>
  </si>
  <si>
    <t>PRIMA VACACIONAL</t>
  </si>
  <si>
    <t>INFONACOT</t>
  </si>
  <si>
    <t>INFONAVIT</t>
  </si>
  <si>
    <t>GOMEZ LOPEZ JUAN</t>
  </si>
  <si>
    <t>RAMIREZ CRUZ ANISETO</t>
  </si>
  <si>
    <t>GOMEZ HERNANDEZ SANTIAGO CRISTOBAL</t>
  </si>
  <si>
    <t>MENDEZ SANCHEZ MIGUEL</t>
  </si>
  <si>
    <t>SANCHEZ CRUZ ISAAC RICARDO</t>
  </si>
  <si>
    <t>GONZALEZ ARCE EDUARDO</t>
  </si>
  <si>
    <t>LEEP ARRIAGA SEMEIN AGUSTIN</t>
  </si>
  <si>
    <t>RODRIGUEZ LEEP EUNICE ARODY</t>
  </si>
  <si>
    <t>LOPEZ OVANDO LEANDRA GUADALUPE</t>
  </si>
  <si>
    <t>SANCHEZ LOPEZ JOEL</t>
  </si>
  <si>
    <t>NAJERA NAJERA GREGORIO CESAR</t>
  </si>
  <si>
    <t>VILLATORO CONSTANTINO RIGOBERTO BERSAIN</t>
  </si>
  <si>
    <t>LOPEZ MENDEZ LETICIA GUADALUPE</t>
  </si>
  <si>
    <t>YAÑEZ LOPEZ LORENA</t>
  </si>
  <si>
    <t>ENRIQUEZ CONSTANTINO SILVIA</t>
  </si>
  <si>
    <t>CAMACHO OVANDO ALAN ULISES</t>
  </si>
  <si>
    <t>YAÑEZ BARRALES OSCAR ENRIQUE</t>
  </si>
  <si>
    <t>SCR0103101R0</t>
  </si>
  <si>
    <t>SISTEMA CHIAPANECO DE RADIO, TELEVISIÓN Y CINEMATOGRAFÍA</t>
  </si>
  <si>
    <t>A6831083386</t>
  </si>
  <si>
    <t>AREA DE RECURSOS MATERIALES</t>
  </si>
  <si>
    <t>canal10humanos@gmail.com</t>
  </si>
  <si>
    <t>GERENCIA DE RADIO XHCTN LA TRINITARIA</t>
  </si>
  <si>
    <t>CAOA900910AZ9</t>
  </si>
  <si>
    <t>CAOA900910HCSMVL04</t>
  </si>
  <si>
    <t>VELADOR</t>
  </si>
  <si>
    <t>camacho.ovando@hotmail.com</t>
  </si>
  <si>
    <t>AREA DE RECURSOS FINANCIEROS Y PLANEACION</t>
  </si>
  <si>
    <t>GERENCIA DE RADIO XHPIC PICHUCALCO</t>
  </si>
  <si>
    <t>EICS720717IA8</t>
  </si>
  <si>
    <t>EICS720717MCSNNL07</t>
  </si>
  <si>
    <t>RECURSOS MATERIALES</t>
  </si>
  <si>
    <t>GOHS770725VE9</t>
  </si>
  <si>
    <t>GOHS770725HCSMRN04</t>
  </si>
  <si>
    <t>ESTACION TV SAN CRISTOBAL XHSBB TV</t>
  </si>
  <si>
    <t>GERENCIA DE RADIO XHSDM SANTO DOMINGO</t>
  </si>
  <si>
    <t>GOLJ580310TC2</t>
  </si>
  <si>
    <t>GOLJ580310HCSMPN02</t>
  </si>
  <si>
    <t>OFICINA DE PRODUCCION</t>
  </si>
  <si>
    <t>CONDUCTOR A</t>
  </si>
  <si>
    <t>xuntsima_1@hotmail.com</t>
  </si>
  <si>
    <t>GOAE930619LGA</t>
  </si>
  <si>
    <t>GOAE930619HCSNRD05</t>
  </si>
  <si>
    <t>DEPARTAMENTO DE PRODUCCION DE NOTICIAS</t>
  </si>
  <si>
    <t>CHOFER DE APOYO</t>
  </si>
  <si>
    <t>vksip19@gmail.com</t>
  </si>
  <si>
    <t>AREA DE RECURSOS HUMANOS</t>
  </si>
  <si>
    <t>LEAS8208289V1</t>
  </si>
  <si>
    <t>LEAS820828HCSPRM09</t>
  </si>
  <si>
    <t>REPETIDORA TV LACANJA CHANSAYAB XHITC TV</t>
  </si>
  <si>
    <t>gallito_compositor@hotmail.com</t>
  </si>
  <si>
    <t>LOML860415SN4</t>
  </si>
  <si>
    <t>LOML860415MCSPNT05</t>
  </si>
  <si>
    <t>joluma122@hotmail.com</t>
  </si>
  <si>
    <t>LOOL710327L22</t>
  </si>
  <si>
    <t>LOOL710327MCSPVN04</t>
  </si>
  <si>
    <t>grupera29103@hotmail.com</t>
  </si>
  <si>
    <t>MESM740315GK2</t>
  </si>
  <si>
    <t>MESM740315HCSNNG05</t>
  </si>
  <si>
    <t>xhsdmmiguel@gmail.com</t>
  </si>
  <si>
    <t>NANG600509D50</t>
  </si>
  <si>
    <t>NANG600509HCSJJR09</t>
  </si>
  <si>
    <t>RACA710517C72</t>
  </si>
  <si>
    <t>RACA710517HCSMRN00</t>
  </si>
  <si>
    <t>anisetoramirez@msn.com</t>
  </si>
  <si>
    <t>ROLE941119B40</t>
  </si>
  <si>
    <t>ROLE941119MCSDPN01</t>
  </si>
  <si>
    <t>REPETIDORA TV FRONTERA COMALAPA XHTIC TV</t>
  </si>
  <si>
    <t>Eunice.rl@hotmail.com</t>
  </si>
  <si>
    <t>SACI900217DT0</t>
  </si>
  <si>
    <t>SACI900217HCSNRS07</t>
  </si>
  <si>
    <t>REPETIDORA TV ALTAMIRANO XHSBB TV</t>
  </si>
  <si>
    <t>ARCANGEL_ISAAC_17@HOTMAIL.COM</t>
  </si>
  <si>
    <t>SALJ870114UA2</t>
  </si>
  <si>
    <t>SALJ870114HCSNPL01</t>
  </si>
  <si>
    <t>joel56209@gmail.com</t>
  </si>
  <si>
    <t>GERENCIA DE RADIO XHTGU TUXTLA GUTIERREZ</t>
  </si>
  <si>
    <t>VICR850924HS8</t>
  </si>
  <si>
    <t>VICR850924HCSLNG05</t>
  </si>
  <si>
    <t>MENSAJERO</t>
  </si>
  <si>
    <t>riguiflow@gmail.com</t>
  </si>
  <si>
    <t>YABO931030VE2</t>
  </si>
  <si>
    <t>YABO931030HCSXRS09</t>
  </si>
  <si>
    <t>drunk_fenix@hotmail.com</t>
  </si>
  <si>
    <t>YALL820202E35</t>
  </si>
  <si>
    <t>YALL820202MCSXPR09</t>
  </si>
  <si>
    <t>RECEPCIONISTA</t>
  </si>
  <si>
    <t>lorena_02ma@hotmail.com</t>
  </si>
  <si>
    <t>Sueldos y Salarios</t>
  </si>
  <si>
    <t>Previsión Social</t>
  </si>
  <si>
    <t>Compensación</t>
  </si>
  <si>
    <t>Subsidio para el Empleo</t>
  </si>
  <si>
    <t>TABLA DE SUBSIDIO PARA EL EMPLEO</t>
  </si>
  <si>
    <t>Monto de ingresos que sirven de base para calcular el impuesto</t>
  </si>
  <si>
    <t>Para ingresos de $</t>
  </si>
  <si>
    <t>Hasta Ingresos de $</t>
  </si>
  <si>
    <t>Tarifas 2021 DOF 11-01-2021</t>
  </si>
  <si>
    <t>5 % Cuota de Desplazamiento</t>
  </si>
  <si>
    <t>RACI920218QA2</t>
  </si>
  <si>
    <t>RAMOS CALVO IVAN ALEJANDRO</t>
  </si>
  <si>
    <t>RACI920218HCSMLV04</t>
  </si>
  <si>
    <t>arcalvo@gmail.com</t>
  </si>
  <si>
    <t>RECURSOS FINANCIEROS Y PLANEACIÓN</t>
  </si>
  <si>
    <t xml:space="preserve">RECEPCIONISTA       </t>
  </si>
  <si>
    <t>Cantidad de subsidio para el empleo 15 DIAS $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</si>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</sst>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00"/>
    <numFmt numFmtId="166" formatCode="00000"/>
    <numFmt numFmtId="167" formatCode="_-[$€-2]* #,##0.00_-;\-[$€-2]* #,##0.00_-;_-[$€-2]* &quot;-&quot;??_-"/>
    <numFmt numFmtId="168" formatCode="dd/mm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Tahoma"/>
      <family val="2"/>
    </font>
    <font>
      <b/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171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5" applyNumberFormat="0" applyAlignment="0" applyProtection="0"/>
    <xf numFmtId="0" fontId="15" fillId="15" borderId="6" applyNumberFormat="0" applyAlignment="0" applyProtection="0"/>
    <xf numFmtId="0" fontId="16" fillId="15" borderId="5" applyNumberFormat="0" applyAlignment="0" applyProtection="0"/>
    <xf numFmtId="0" fontId="17" fillId="0" borderId="7" applyNumberFormat="0" applyFill="0" applyAlignment="0" applyProtection="0"/>
    <xf numFmtId="0" fontId="4" fillId="16" borderId="8" applyNumberFormat="0" applyAlignment="0" applyProtection="0"/>
    <xf numFmtId="0" fontId="18" fillId="0" borderId="0" applyNumberFormat="0" applyFill="0" applyBorder="0" applyAlignment="0" applyProtection="0"/>
    <xf numFmtId="0" fontId="6" fillId="17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21" fillId="41" borderId="0" applyNumberFormat="0" applyBorder="0" applyAlignment="0" applyProtection="0"/>
    <xf numFmtId="167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2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9" fontId="22" fillId="0" borderId="0" applyFont="0" applyFill="0" applyBorder="0" applyAlignment="0" applyProtection="0"/>
  </cellStyleXfs>
  <cellXfs count="8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164" fontId="0" fillId="2" borderId="0" xfId="0" applyNumberFormat="1" applyFill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165" fontId="0" fillId="3" borderId="0" xfId="0" applyNumberFormat="1" applyFill="1"/>
    <xf numFmtId="0" fontId="0" fillId="4" borderId="0" xfId="0" applyFill="1"/>
    <xf numFmtId="164" fontId="0" fillId="3" borderId="0" xfId="0" applyNumberFormat="1" applyFill="1"/>
    <xf numFmtId="0" fontId="0" fillId="0" borderId="0" xfId="0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Font="1"/>
    <xf numFmtId="14" fontId="0" fillId="4" borderId="0" xfId="0" applyNumberFormat="1" applyFill="1"/>
    <xf numFmtId="166" fontId="0" fillId="0" borderId="0" xfId="0" applyNumberFormat="1"/>
    <xf numFmtId="0" fontId="0" fillId="0" borderId="0" xfId="0" applyFont="1" applyFill="1"/>
    <xf numFmtId="0" fontId="0" fillId="0" borderId="0" xfId="0" applyFont="1" applyFill="1" applyBorder="1"/>
    <xf numFmtId="165" fontId="0" fillId="0" borderId="0" xfId="0" applyNumberFormat="1" applyFont="1" applyFill="1"/>
    <xf numFmtId="165" fontId="0" fillId="0" borderId="0" xfId="0" applyNumberFormat="1"/>
    <xf numFmtId="2" fontId="0" fillId="0" borderId="0" xfId="0" applyNumberFormat="1"/>
    <xf numFmtId="0" fontId="4" fillId="9" borderId="1" xfId="0" applyFont="1" applyFill="1" applyBorder="1" applyAlignment="1">
      <alignment horizontal="center" vertical="center" wrapText="1"/>
    </xf>
    <xf numFmtId="0" fontId="0" fillId="9" borderId="0" xfId="0" applyFill="1"/>
    <xf numFmtId="2" fontId="0" fillId="9" borderId="0" xfId="0" applyNumberFormat="1" applyFill="1"/>
    <xf numFmtId="166" fontId="0" fillId="9" borderId="0" xfId="0" applyNumberFormat="1" applyFill="1"/>
    <xf numFmtId="0" fontId="0" fillId="0" borderId="0" xfId="0"/>
    <xf numFmtId="1" fontId="0" fillId="0" borderId="0" xfId="0" applyNumberFormat="1" applyFill="1"/>
    <xf numFmtId="168" fontId="0" fillId="0" borderId="0" xfId="0" applyNumberFormat="1" applyFill="1" applyAlignment="1">
      <alignment horizontal="right"/>
    </xf>
    <xf numFmtId="0" fontId="0" fillId="0" borderId="0" xfId="0" applyNumberFormat="1" applyFill="1"/>
    <xf numFmtId="165" fontId="0" fillId="0" borderId="0" xfId="0" applyNumberFormat="1" applyFill="1"/>
    <xf numFmtId="4" fontId="0" fillId="0" borderId="0" xfId="0" applyNumberFormat="1" applyFont="1" applyFill="1" applyAlignment="1">
      <alignment horizontal="right"/>
    </xf>
    <xf numFmtId="1" fontId="0" fillId="0" borderId="0" xfId="0" applyNumberFormat="1" applyFont="1" applyFill="1" applyBorder="1"/>
    <xf numFmtId="1" fontId="0" fillId="0" borderId="0" xfId="0" applyNumberFormat="1" applyFont="1" applyFill="1"/>
    <xf numFmtId="1" fontId="25" fillId="0" borderId="0" xfId="2" applyNumberFormat="1" applyFont="1" applyFill="1" applyBorder="1" applyAlignment="1" applyProtection="1"/>
    <xf numFmtId="1" fontId="25" fillId="0" borderId="0" xfId="2" applyNumberFormat="1" applyFont="1" applyFill="1" applyAlignment="1" applyProtection="1"/>
    <xf numFmtId="14" fontId="24" fillId="0" borderId="0" xfId="0" applyNumberFormat="1" applyFont="1" applyFill="1"/>
    <xf numFmtId="1" fontId="24" fillId="0" borderId="0" xfId="0" applyNumberFormat="1" applyFont="1" applyFill="1"/>
    <xf numFmtId="0" fontId="6" fillId="0" borderId="0" xfId="0" applyFont="1" applyFill="1"/>
    <xf numFmtId="1" fontId="24" fillId="0" borderId="5" xfId="11" applyNumberFormat="1" applyFont="1" applyFill="1"/>
    <xf numFmtId="1" fontId="5" fillId="0" borderId="5" xfId="2" applyNumberFormat="1" applyFill="1" applyBorder="1" applyAlignment="1" applyProtection="1"/>
    <xf numFmtId="166" fontId="0" fillId="0" borderId="0" xfId="0" applyNumberFormat="1" applyFill="1"/>
    <xf numFmtId="4" fontId="26" fillId="0" borderId="0" xfId="47" applyNumberFormat="1" applyFont="1" applyFill="1" applyBorder="1" applyAlignment="1"/>
    <xf numFmtId="4" fontId="26" fillId="0" borderId="0" xfId="47" applyNumberFormat="1" applyFont="1" applyFill="1" applyBorder="1" applyAlignment="1">
      <alignment horizontal="right"/>
    </xf>
    <xf numFmtId="10" fontId="26" fillId="0" borderId="0" xfId="52" applyNumberFormat="1" applyFont="1" applyFill="1" applyBorder="1" applyAlignment="1">
      <alignment horizontal="right"/>
    </xf>
    <xf numFmtId="0" fontId="22" fillId="0" borderId="0" xfId="47"/>
    <xf numFmtId="0" fontId="23" fillId="0" borderId="0" xfId="51"/>
    <xf numFmtId="0" fontId="22" fillId="42" borderId="16" xfId="47" applyFont="1" applyFill="1" applyBorder="1" applyAlignment="1"/>
    <xf numFmtId="0" fontId="28" fillId="42" borderId="14" xfId="47" applyFont="1" applyFill="1" applyBorder="1" applyAlignment="1">
      <alignment horizontal="center" vertical="center" wrapText="1"/>
    </xf>
    <xf numFmtId="0" fontId="28" fillId="42" borderId="15" xfId="47" applyFont="1" applyFill="1" applyBorder="1" applyAlignment="1">
      <alignment horizontal="center" vertical="center" wrapText="1"/>
    </xf>
    <xf numFmtId="0" fontId="28" fillId="42" borderId="16" xfId="47" applyFont="1" applyFill="1" applyBorder="1" applyAlignment="1">
      <alignment horizontal="center" vertical="center" wrapText="1"/>
    </xf>
    <xf numFmtId="4" fontId="29" fillId="0" borderId="14" xfId="47" applyNumberFormat="1" applyFont="1" applyFill="1" applyBorder="1"/>
    <xf numFmtId="4" fontId="29" fillId="0" borderId="15" xfId="47" applyNumberFormat="1" applyFont="1" applyFill="1" applyBorder="1"/>
    <xf numFmtId="4" fontId="29" fillId="0" borderId="16" xfId="47" applyNumberFormat="1" applyFont="1" applyFill="1" applyBorder="1" applyAlignment="1">
      <alignment horizontal="right"/>
    </xf>
    <xf numFmtId="4" fontId="29" fillId="0" borderId="17" xfId="47" applyNumberFormat="1" applyFont="1" applyFill="1" applyBorder="1"/>
    <xf numFmtId="4" fontId="29" fillId="0" borderId="18" xfId="47" applyNumberFormat="1" applyFont="1" applyFill="1" applyBorder="1" applyAlignment="1">
      <alignment horizontal="right"/>
    </xf>
    <xf numFmtId="4" fontId="0" fillId="0" borderId="0" xfId="0" applyNumberFormat="1" applyFill="1"/>
    <xf numFmtId="0" fontId="4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27" fillId="42" borderId="11" xfId="47" applyFont="1" applyFill="1" applyBorder="1" applyAlignment="1">
      <alignment horizontal="center" vertical="center" wrapText="1"/>
    </xf>
    <xf numFmtId="0" fontId="27" fillId="42" borderId="12" xfId="47" applyFont="1" applyFill="1" applyBorder="1" applyAlignment="1">
      <alignment horizontal="center" vertical="center" wrapText="1"/>
    </xf>
    <xf numFmtId="0" fontId="27" fillId="42" borderId="13" xfId="47" applyFont="1" applyFill="1" applyBorder="1" applyAlignment="1">
      <alignment horizontal="center" vertical="center" wrapText="1"/>
    </xf>
    <xf numFmtId="0" fontId="27" fillId="42" borderId="14" xfId="47" applyFont="1" applyFill="1" applyBorder="1" applyAlignment="1">
      <alignment horizontal="center"/>
    </xf>
    <xf numFmtId="0" fontId="27" fillId="42" borderId="15" xfId="47" applyFont="1" applyFill="1" applyBorder="1" applyAlignment="1">
      <alignment horizontal="center"/>
    </xf>
    <xf numFmtId="0" fontId="27" fillId="42" borderId="16" xfId="47" applyFont="1" applyFill="1" applyBorder="1" applyAlignment="1">
      <alignment horizontal="center"/>
    </xf>
    <xf numFmtId="0" fontId="27" fillId="42" borderId="14" xfId="47" applyFont="1" applyFill="1" applyBorder="1" applyAlignment="1">
      <alignment horizontal="center" vertical="center" wrapText="1"/>
    </xf>
    <xf numFmtId="0" fontId="27" fillId="42" borderId="15" xfId="47" applyFont="1" applyFill="1" applyBorder="1" applyAlignment="1">
      <alignment horizontal="center" vertical="center" wrapText="1"/>
    </xf>
    <xf numFmtId="0" fontId="1" fillId="0" borderId="15" xfId="0" applyFont="1" applyFill="1" applyBorder="1"/>
    <xf numFmtId="0" fontId="1" fillId="0" borderId="15" xfId="0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vertical="center" wrapText="1"/>
    </xf>
    <xf numFmtId="165" fontId="1" fillId="0" borderId="15" xfId="0" applyNumberFormat="1" applyFont="1" applyFill="1" applyBorder="1" applyAlignment="1">
      <alignment horizontal="center" vertical="center" wrapText="1"/>
    </xf>
    <xf numFmtId="165" fontId="1" fillId="0" borderId="15" xfId="0" quotePrefix="1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164" fontId="1" fillId="0" borderId="15" xfId="0" applyNumberFormat="1" applyFont="1" applyFill="1" applyBorder="1" applyAlignment="1">
      <alignment horizontal="center" vertical="center" wrapText="1"/>
    </xf>
    <xf numFmtId="164" fontId="1" fillId="0" borderId="15" xfId="0" applyNumberFormat="1" applyFont="1" applyFill="1" applyBorder="1" applyAlignment="1">
      <alignment vertical="center" wrapText="1"/>
    </xf>
    <xf numFmtId="0" fontId="3" fillId="0" borderId="15" xfId="0" applyFont="1" applyFill="1" applyBorder="1" applyAlignment="1">
      <alignment vertical="center" wrapText="1"/>
    </xf>
    <xf numFmtId="164" fontId="3" fillId="0" borderId="15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/>
    <xf numFmtId="164" fontId="3" fillId="0" borderId="15" xfId="0" applyNumberFormat="1" applyFont="1" applyFill="1" applyBorder="1" applyAlignment="1">
      <alignment vertical="center" wrapText="1"/>
    </xf>
    <xf numFmtId="164" fontId="3" fillId="0" borderId="15" xfId="0" quotePrefix="1" applyNumberFormat="1" applyFont="1" applyFill="1" applyBorder="1" applyAlignment="1">
      <alignment horizontal="center" vertical="center" wrapText="1"/>
    </xf>
    <xf numFmtId="0" fontId="0" fillId="0" borderId="15" xfId="0" applyFont="1" applyFill="1" applyBorder="1"/>
    <xf numFmtId="165" fontId="0" fillId="0" borderId="15" xfId="0" applyNumberFormat="1" applyFont="1" applyFill="1" applyBorder="1"/>
  </cellXfs>
  <cellStyles count="53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Euro" xfId="44" xr:uid="{00000000-0005-0000-0000-00001E000000}"/>
    <cellStyle name="Hipervínculo" xfId="2" builtinId="8"/>
    <cellStyle name="Incorrecto" xfId="9" builtinId="27" customBuiltin="1"/>
    <cellStyle name="Millares 2" xfId="45" xr:uid="{00000000-0005-0000-0000-000021000000}"/>
    <cellStyle name="Neutral" xfId="10" builtinId="28" customBuiltin="1"/>
    <cellStyle name="Normal" xfId="0" builtinId="0"/>
    <cellStyle name="Normal 14" xfId="46" xr:uid="{00000000-0005-0000-0000-000024000000}"/>
    <cellStyle name="Normal 2" xfId="47" xr:uid="{00000000-0005-0000-0000-000025000000}"/>
    <cellStyle name="Normal 2 2" xfId="1" xr:uid="{00000000-0005-0000-0000-000026000000}"/>
    <cellStyle name="Normal 22" xfId="48" xr:uid="{00000000-0005-0000-0000-000027000000}"/>
    <cellStyle name="Normal 3" xfId="49" xr:uid="{00000000-0005-0000-0000-000028000000}"/>
    <cellStyle name="Normal 3 2" xfId="50" xr:uid="{00000000-0005-0000-0000-000029000000}"/>
    <cellStyle name="Normal_CÁLCULO 1QNA ENERO 2008" xfId="51" xr:uid="{00000000-0005-0000-0000-00002A000000}"/>
    <cellStyle name="Notas" xfId="17" builtinId="10" customBuiltin="1"/>
    <cellStyle name="Porcentaje 2" xfId="52" xr:uid="{00000000-0005-0000-0000-00002C000000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67">
    <dxf>
      <numFmt numFmtId="0" formatCode="General"/>
    </dxf>
    <dxf>
      <numFmt numFmtId="164" formatCode="000"/>
      <fill>
        <patternFill patternType="solid">
          <fgColor indexed="64"/>
          <bgColor theme="0" tint="-0.249977111117893"/>
        </patternFill>
      </fill>
    </dxf>
    <dxf>
      <numFmt numFmtId="0" formatCode="General"/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numFmt numFmtId="1" formatCode="0"/>
      <fill>
        <patternFill patternType="none">
          <fgColor indexed="64"/>
          <bgColor indexed="65"/>
        </patternFill>
      </fill>
    </dxf>
    <dxf>
      <numFmt numFmtId="165" formatCode="00"/>
      <fill>
        <patternFill patternType="solid">
          <fgColor indexed="64"/>
          <bgColor theme="0" tint="-0.249977111117893"/>
        </patternFill>
      </fill>
    </dxf>
    <dxf>
      <numFmt numFmtId="164" formatCode="000"/>
      <fill>
        <patternFill patternType="solid">
          <fgColor indexed="64"/>
          <bgColor theme="0" tint="-0.14999847407452621"/>
        </patternFill>
      </fill>
    </dxf>
    <dxf>
      <numFmt numFmtId="2" formatCode="0.00"/>
    </dxf>
    <dxf>
      <numFmt numFmtId="166" formatCode="00000"/>
    </dxf>
    <dxf>
      <numFmt numFmtId="1" formatCode="0"/>
    </dxf>
    <dxf>
      <numFmt numFmtId="164" formatCode="000"/>
      <fill>
        <patternFill patternType="solid">
          <fgColor indexed="64"/>
          <bgColor theme="0" tint="-0.249977111117893"/>
        </patternFill>
      </fill>
    </dxf>
    <dxf>
      <numFmt numFmtId="2" formatCode="0.00"/>
    </dxf>
    <dxf>
      <numFmt numFmtId="2" formatCode="0.00"/>
    </dxf>
    <dxf>
      <numFmt numFmtId="166" formatCode="00000"/>
    </dxf>
    <dxf>
      <numFmt numFmtId="1" formatCode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"/>
      <fill>
        <patternFill patternType="none">
          <fgColor indexed="64"/>
          <bgColor auto="1"/>
        </patternFill>
      </fill>
    </dxf>
    <dxf>
      <numFmt numFmtId="165" formatCode="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8" formatCode="dd/mm/yyyy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69" formatCode="dd/mm/yyyy"/>
      <fill>
        <patternFill patternType="solid">
          <fgColor indexed="64"/>
          <bgColor theme="0" tint="-0.34998626667073579"/>
        </patternFill>
      </fill>
    </dxf>
    <dxf>
      <numFmt numFmtId="165" formatCode="00"/>
      <fill>
        <patternFill patternType="solid">
          <fgColor indexed="64"/>
          <bgColor theme="0" tint="-0.249977111117893"/>
        </patternFill>
      </fill>
    </dxf>
    <dxf>
      <numFmt numFmtId="169" formatCode="dd/mm/yyyy"/>
    </dxf>
    <dxf>
      <numFmt numFmtId="169" formatCode="dd/mm/yyyy"/>
    </dxf>
    <dxf>
      <numFmt numFmtId="169" formatCode="dd/mm/yyyy"/>
    </dxf>
    <dxf>
      <numFmt numFmtId="169" formatCode="dd/mm/yyyy"/>
    </dxf>
    <dxf>
      <fill>
        <patternFill>
          <fgColor indexed="64"/>
          <bgColor rgb="FFF51717"/>
        </patternFill>
      </fill>
    </dxf>
  </dxfs>
  <tableStyles count="0" defaultTableStyle="TableStyleMedium2" defaultPivotStyle="PivotStyleLight16"/>
  <colors>
    <mruColors>
      <color rgb="FFF51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02\UAA\TIMBRADO%20NOMINA\2020\12_Timbrado%20Diciembre%202020\Mes%20completo\CONFIANZA\NNS%20CANAL%2010%20CONFIANZA%20MES%20COMPLETO%20DICIEMB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anismo"/>
      <sheetName val="Trabajadores"/>
      <sheetName val="Percepciones"/>
      <sheetName val="Deducciones"/>
      <sheetName val="HorasExtra"/>
      <sheetName val="OtrosPagos"/>
      <sheetName val="Cat"/>
      <sheetName val="NOMINA"/>
      <sheetName val="tablas isr art. 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Organismo" displayName="TablaOrganismo" ref="E1:M2" totalsRowShown="0" headerRowDxfId="66">
  <autoFilter ref="E1:M2" xr:uid="{00000000-0009-0000-0100-000001000000}"/>
  <tableColumns count="9">
    <tableColumn id="1" xr3:uid="{00000000-0010-0000-0000-000001000000}" name="Tipo de Nómina"/>
    <tableColumn id="2" xr3:uid="{00000000-0010-0000-0000-000002000000}" name="Periodicidad de Pago" dataDxfId="65"/>
    <tableColumn id="3" xr3:uid="{00000000-0010-0000-0000-000003000000}" name="Fecha de Pago" dataDxfId="64"/>
    <tableColumn id="4" xr3:uid="{00000000-0010-0000-0000-000004000000}" name="Fecha Inicial de pago" dataDxfId="63"/>
    <tableColumn id="5" xr3:uid="{00000000-0010-0000-0000-000005000000}" name="Fecha Final de pago" dataDxfId="62"/>
    <tableColumn id="9" xr3:uid="{00000000-0010-0000-0000-000009000000}" name="Clave Periodicidad de Pago" dataDxfId="61">
      <calculatedColumnFormula>IF(TablaOrganismo[Periodicidad de Pago]="","",VLOOKUP(TablaOrganismo[Periodicidad de Pago],Cat!$D$1:$E$12,2,0))</calculatedColumnFormula>
    </tableColumn>
    <tableColumn id="8" xr3:uid="{00000000-0010-0000-0000-000008000000}" name="Clave Tipo de Nómina" dataDxfId="60">
      <calculatedColumnFormula>IF(TablaOrganismo[Tipo de Nómina]="","",VLOOKUP(TablaOrganismo[Tipo de Nómina],Cat!$A$2:$B$3,2,0))</calculatedColumnFormula>
    </tableColumn>
    <tableColumn id="6" xr3:uid="{00000000-0010-0000-0000-000006000000}" name="Numero de días pagados" dataDxfId="59">
      <calculatedColumnFormula>IF(OR(TablaOrganismo[Fecha Inicial de pago]&gt;TablaOrganismo[Fecha Final de pago],TablaOrganismo[Fecha Inicial de pago]="",TablaOrganismo[Fecha Final de pago]=""),"",TablaOrganismo[Fecha Final de pago]-TablaOrganismo[Fecha Inicial de pago]+1)</calculatedColumnFormula>
    </tableColumn>
    <tableColumn id="7" xr3:uid="{00000000-0010-0000-0000-000007000000}" name="Nómina Sindicaliz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Trabajadores" displayName="TablaTrabajadores" ref="A1:AN19" totalsRowShown="0" headerRowDxfId="58" dataDxfId="57">
  <sortState xmlns:xlrd2="http://schemas.microsoft.com/office/spreadsheetml/2017/richdata2" ref="A2:AN122">
    <sortCondition ref="C2"/>
  </sortState>
  <tableColumns count="40">
    <tableColumn id="1" xr3:uid="{00000000-0010-0000-0100-000001000000}" name="Consecutivo Trabajador" dataDxfId="56"/>
    <tableColumn id="2" xr3:uid="{00000000-0010-0000-0100-000002000000}" name="RFC Trabajador" dataDxfId="55"/>
    <tableColumn id="3" xr3:uid="{00000000-0010-0000-0100-000003000000}" name="Nombre Trabajador" dataDxfId="54"/>
    <tableColumn id="4" xr3:uid="{00000000-0010-0000-0100-000004000000}" name="CURP" dataDxfId="53"/>
    <tableColumn id="5" xr3:uid="{00000000-0010-0000-0100-000005000000}" name="NSS" dataDxfId="52"/>
    <tableColumn id="6" xr3:uid="{00000000-0010-0000-0100-000006000000}" name="Fecha Inicio Relación Laboral" dataDxfId="51"/>
    <tableColumn id="7" xr3:uid="{00000000-0010-0000-0100-000007000000}" name="Tipo de Contrato" dataDxfId="50"/>
    <tableColumn id="8" xr3:uid="{00000000-0010-0000-0100-000008000000}" name="Tipo de Régimen" dataDxfId="49"/>
    <tableColumn id="9" xr3:uid="{00000000-0010-0000-0100-000009000000}" name="Número de Empleado" dataDxfId="48"/>
    <tableColumn id="10" xr3:uid="{00000000-0010-0000-0100-00000A000000}" name="Departamento" dataDxfId="47"/>
    <tableColumn id="11" xr3:uid="{00000000-0010-0000-0100-00000B000000}" name="Puesto" dataDxfId="46"/>
    <tableColumn id="26" xr3:uid="{00000000-0010-0000-0100-00001A000000}" name="Riesgo de Puesto" dataDxfId="45"/>
    <tableColumn id="28" xr3:uid="{00000000-0010-0000-0100-00001C000000}" name="Salario Diario Integrado" dataDxfId="44"/>
    <tableColumn id="29" xr3:uid="{00000000-0010-0000-0100-00001D000000}" name="Origen del Recurso" dataDxfId="43"/>
    <tableColumn id="30" xr3:uid="{00000000-0010-0000-0100-00001E000000}" name="Monto Recurso Propio" dataDxfId="42"/>
    <tableColumn id="32" xr3:uid="{00000000-0010-0000-0100-000020000000}" name="Entidad Federativa" dataDxfId="41"/>
    <tableColumn id="12" xr3:uid="{00000000-0010-0000-0100-00000C000000}" name="Correo Electrónico" dataDxfId="40" dataCellStyle="Hipervínculo"/>
    <tableColumn id="13" xr3:uid="{00000000-0010-0000-0100-00000D000000}" name="CC" dataDxfId="39"/>
    <tableColumn id="14" xr3:uid="{00000000-0010-0000-0100-00000E000000}" name="CCO" dataDxfId="38"/>
    <tableColumn id="25" xr3:uid="{00000000-0010-0000-0100-000019000000}" name="Clave Tipo de Contrato" dataDxfId="37">
      <calculatedColumnFormula>IF(TablaTrabajadores[[#This Row],[Tipo de Contrato]]="","",VLOOKUP(TablaTrabajadores[[#This Row],[Tipo de Contrato]],Cat!$G$1:$H$12,2,0))</calculatedColumnFormula>
    </tableColumn>
    <tableColumn id="27" xr3:uid="{00000000-0010-0000-0100-00001B000000}" name="Clave Tipo de Régimen" dataDxfId="36">
      <calculatedColumnFormula>IF(TablaTrabajadores[[#This Row],[Tipo de Régimen]]="","",VLOOKUP(TablaTrabajadores[[#This Row],[Tipo de Régimen]],Cat!$J$1:$K$13,2,0))</calculatedColumnFormula>
    </tableColumn>
    <tableColumn id="15" xr3:uid="{00000000-0010-0000-0100-00000F000000}" name="Total de Percepciones" dataDxfId="35">
      <calculatedColumnFormula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calculatedColumnFormula>
    </tableColumn>
    <tableColumn id="16" xr3:uid="{00000000-0010-0000-0100-000010000000}" name="Total de Deducciones" dataDxfId="34">
      <calculatedColumnFormula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calculatedColumnFormula>
    </tableColumn>
    <tableColumn id="17" xr3:uid="{00000000-0010-0000-0100-000011000000}" name="Total de Otros Pagos" dataDxfId="33">
      <calculatedColumnFormula>ROUND(IF((SUMIF(TablaOtrosPagos[[#All],[Trabajador]],TablaTrabajadores[[#This Row],[Nombre Trabajador]],TablaOtrosPagos[[#All],[Importe]]))=0,0,SUMIF(TablaOtrosPagos[[#All],[Trabajador]],TablaTrabajadores[[#This Row],[Nombre Trabajador]],TablaOtrosPagos[[#All],[Importe]])),2)</calculatedColumnFormula>
    </tableColumn>
    <tableColumn id="18" xr3:uid="{00000000-0010-0000-0100-000012000000}" name="Antigüedad" dataDxfId="32">
      <calculatedColumnFormula>IF(OR(TablaOrganismo[Fecha Final de pago]="",TablaTrabajadores[[#This Row],[Fecha Inicio Relación Laboral]]=""),"",CONCATENATE("P",ROUNDDOWN((TablaOrganismo[Fecha Final de pago]-TablaTrabajadores[[#This Row],[Fecha Inicio Relación Laboral]])/7,0),"W"))</calculatedColumnFormula>
    </tableColumn>
    <tableColumn id="19" xr3:uid="{00000000-0010-0000-0100-000013000000}" name="ConteoPercepciones" dataDxfId="31">
      <calculatedColumnFormula>COUNTIF(TablaPercepciones[[#All],[Trabajador]],TablaTrabajadores[[#This Row],[Nombre Trabajador]])</calculatedColumnFormula>
    </tableColumn>
    <tableColumn id="20" xr3:uid="{00000000-0010-0000-0100-000014000000}" name="ConteoDeducciones" dataDxfId="30">
      <calculatedColumnFormula>COUNTIF(TablaDeducciones[[#All],[Trabajador]],TablaTrabajadores[[#This Row],[Nombre Trabajador]])</calculatedColumnFormula>
    </tableColumn>
    <tableColumn id="21" xr3:uid="{00000000-0010-0000-0100-000015000000}" name="Total Gravado" dataDxfId="29">
      <calculatedColumnFormula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calculatedColumnFormula>
    </tableColumn>
    <tableColumn id="22" xr3:uid="{00000000-0010-0000-0100-000016000000}" name="Total Exento" dataDxfId="28">
      <calculatedColumnFormula>ROUND(IF((SUMIF(TablaPercepciones[[#All],[Trabajador]],TablaTrabajadores[[#This Row],[Nombre Trabajador]],TablaPercepciones[[#All],[o]]))=0,0,SUMIF(TablaPercepciones[[#All],[Trabajador]],TablaTrabajadores[[#This Row],[Nombre Trabajador]],TablaPercepciones[[#All],[o]])),2)</calculatedColumnFormula>
    </tableColumn>
    <tableColumn id="23" xr3:uid="{00000000-0010-0000-0100-000017000000}" name="Total Otras Deducciones" dataDxfId="27">
      <calculatedColumnFormula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calculatedColumnFormula>
    </tableColumn>
    <tableColumn id="24" xr3:uid="{00000000-0010-0000-0100-000018000000}" name="Total Impuestos Retenidos" dataDxfId="26">
      <calculatedColumnFormula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calculatedColumnFormula>
    </tableColumn>
    <tableColumn id="31" xr3:uid="{00000000-0010-0000-0100-00001F000000}" name="ClaveOrigen del Recurso2" dataDxfId="25">
      <calculatedColumnFormula>IF(TablaTrabajadores[[#This Row],[Origen del Recurso]]="","",VLOOKUP(TablaTrabajadores[[#This Row],[Origen del Recurso]],Cat!Y:Z,2,0))</calculatedColumnFormula>
    </tableColumn>
    <tableColumn id="33" xr3:uid="{00000000-0010-0000-0100-000021000000}" name="ClaveEntidadFederativa" dataDxfId="24">
      <calculatedColumnFormula>IF(TablaTrabajadores[[#This Row],[Entidad Federativa]]="","",VLOOKUP(TablaTrabajadores[[#This Row],[Entidad Federativa]],Cat!AB:AC,2,0))</calculatedColumnFormula>
    </tableColumn>
    <tableColumn id="34" xr3:uid="{00000000-0010-0000-0100-000022000000}" name="ConteoHorasExtra" dataDxfId="23">
      <calculatedColumnFormula>COUNTIF(TablaHorasExtra[[#All],[Trabajador]],TablaTrabajadores[[#This Row],[Nombre Trabajador]])</calculatedColumnFormula>
    </tableColumn>
    <tableColumn id="35" xr3:uid="{00000000-0010-0000-0100-000023000000}" name="ConteOtrosPagos" dataDxfId="22">
      <calculatedColumnFormula>COUNTIF(TablaOtrosPagos[[#All],[Trabajador]],TablaTrabajadores[[#This Row],[Nombre Trabajador]])</calculatedColumnFormula>
    </tableColumn>
    <tableColumn id="37" xr3:uid="{00000000-0010-0000-0100-000025000000}" name="ClaveJornada" dataDxfId="21">
      <calculatedColumnFormula>IF(TablaTrabajadores[[#This Row],[Tipo de Jornada]]="","",VLOOKUP(TablaTrabajadores[[#This Row],[Tipo de Jornada]],Cat!AK:AL,2,0))</calculatedColumnFormula>
    </tableColumn>
    <tableColumn id="38" xr3:uid="{00000000-0010-0000-0100-000026000000}" name="TotalSueldos" dataDxfId="20">
      <calculatedColumnFormula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calculatedColumnFormula>
    </tableColumn>
    <tableColumn id="39" xr3:uid="{00000000-0010-0000-0100-000027000000}" name="TotalSeparacionIndemnizacion" dataDxfId="19">
      <calculatedColumnFormula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calculatedColumnFormula>
    </tableColumn>
    <tableColumn id="40" xr3:uid="{00000000-0010-0000-0100-000028000000}" name="TotalJubilacionPensionRetiro" dataDxfId="18">
      <calculatedColumnFormula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calculatedColumnFormula>
    </tableColumn>
    <tableColumn id="36" xr3:uid="{00000000-0010-0000-0100-000024000000}" name="Tipo de Jornada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ercepciones" displayName="TablaPercepciones" ref="A1:G72" totalsRowShown="0">
  <autoFilter ref="A1:G72" xr:uid="{00000000-0009-0000-0100-000003000000}"/>
  <tableColumns count="7">
    <tableColumn id="2" xr3:uid="{00000000-0010-0000-0200-000002000000}" name="Trabajador" dataDxfId="16"/>
    <tableColumn id="3" xr3:uid="{00000000-0010-0000-0200-000003000000}" name="Percepción"/>
    <tableColumn id="4" xr3:uid="{00000000-0010-0000-0200-000004000000}" name="Clave" dataDxfId="15"/>
    <tableColumn id="5" xr3:uid="{00000000-0010-0000-0200-000005000000}" name="Concepto"/>
    <tableColumn id="6" xr3:uid="{00000000-0010-0000-0200-000006000000}" name="Importe Gravado" dataDxfId="14"/>
    <tableColumn id="7" xr3:uid="{00000000-0010-0000-0200-000007000000}" name="o" dataDxfId="13"/>
    <tableColumn id="8" xr3:uid="{00000000-0010-0000-0200-000008000000}" name="Clave Percepción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Deducciones" displayName="TablaDeducciones" ref="A1:F20" totalsRowShown="0">
  <tableColumns count="6">
    <tableColumn id="2" xr3:uid="{00000000-0010-0000-0300-000002000000}" name="Trabajador" dataDxfId="11"/>
    <tableColumn id="3" xr3:uid="{00000000-0010-0000-0300-000003000000}" name="Deducción"/>
    <tableColumn id="4" xr3:uid="{00000000-0010-0000-0300-000004000000}" name="Clave" dataDxfId="10"/>
    <tableColumn id="5" xr3:uid="{00000000-0010-0000-0300-000005000000}" name="Concepto"/>
    <tableColumn id="6" xr3:uid="{00000000-0010-0000-0300-000006000000}" name="Importe" dataDxfId="9"/>
    <tableColumn id="7" xr3:uid="{00000000-0010-0000-0300-000007000000}" name="Clave Deducción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aHorasExtra" displayName="TablaHorasExtra" ref="A1:F2" totalsRowShown="0">
  <tableColumns count="6">
    <tableColumn id="2" xr3:uid="{00000000-0010-0000-0400-000002000000}" name="Trabajador"/>
    <tableColumn id="3" xr3:uid="{00000000-0010-0000-0400-000003000000}" name="Días"/>
    <tableColumn id="4" xr3:uid="{00000000-0010-0000-0400-000004000000}" name="Tipo de Horas"/>
    <tableColumn id="5" xr3:uid="{00000000-0010-0000-0400-000005000000}" name="Horas Extra"/>
    <tableColumn id="6" xr3:uid="{00000000-0010-0000-0400-000006000000}" name="Importe Pagado"/>
    <tableColumn id="7" xr3:uid="{00000000-0010-0000-0400-000007000000}" name="Clave Tipo de Horas" dataDxfId="7">
      <calculatedColumnFormula>IF(TablaHorasExtra[Tipo de Horas]="","",VLOOKUP(TablaHorasExtra[Tipo de Horas],Cat!$S$1:$T$4,2,0))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OtrosPagos" displayName="TablaOtrosPagos" ref="A1:G19" totalsRowShown="0">
  <autoFilter ref="A1:G19" xr:uid="{00000000-0009-0000-0100-000007000000}"/>
  <tableColumns count="7">
    <tableColumn id="1" xr3:uid="{00000000-0010-0000-0500-000001000000}" name="Trabajador" dataDxfId="6"/>
    <tableColumn id="2" xr3:uid="{00000000-0010-0000-0500-000002000000}" name="Tipo de Otro Pago" dataDxfId="5"/>
    <tableColumn id="3" xr3:uid="{00000000-0010-0000-0500-000003000000}" name="Clave" dataDxfId="4"/>
    <tableColumn id="4" xr3:uid="{00000000-0010-0000-0500-000004000000}" name="Concepto" dataDxfId="3"/>
    <tableColumn id="5" xr3:uid="{00000000-0010-0000-0500-000005000000}" name="Importe" dataDxfId="2">
      <calculatedColumnFormula>SUMIFS(#REF!,#REF!,TablaOtrosPagos[[#This Row],[Trabajador]])</calculatedColumnFormula>
    </tableColumn>
    <tableColumn id="6" xr3:uid="{00000000-0010-0000-0500-000006000000}" name="Clave de Tipo de Otro Pago" dataDxfId="1">
      <calculatedColumnFormula>IF(TablaOtrosPagos[[#This Row],[Tipo de Otro Pago]]="","",VLOOKUP(TablaOtrosPagos[[#This Row],[Tipo de Otro Pago]],Cat!$V$1:$W$6,2,0))</calculatedColumnFormula>
    </tableColumn>
    <tableColumn id="7" xr3:uid="{00000000-0010-0000-0500-000007000000}" name="SUBSIDIO CAUSADO" dataDxfId="0">
      <calculatedColumnFormula>LOOKUP(INDEX(TablaTrabajadores[Total Gravado],MATCH(TablaOtrosPagos[[#This Row],[Trabajador]],TablaTrabajadores[Nombre Trabajador],0)),'tablas isr art. 96'!$B$10:$B$20,'tablas isr art. 96'!$D$10:$D$20)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calvo@gmail.com" TargetMode="External"/><Relationship Id="rId2" Type="http://schemas.openxmlformats.org/officeDocument/2006/relationships/hyperlink" Target="mailto:ruthvalculebro@icloud.com" TargetMode="External"/><Relationship Id="rId1" Type="http://schemas.openxmlformats.org/officeDocument/2006/relationships/hyperlink" Target="mailto:kcvideo@gmail.com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M13"/>
  <sheetViews>
    <sheetView workbookViewId="0">
      <selection activeCell="F25" sqref="F25"/>
    </sheetView>
  </sheetViews>
  <sheetFormatPr baseColWidth="10" defaultRowHeight="15" x14ac:dyDescent="0.25"/>
  <cols>
    <col min="1" max="1" width="2.7109375" customWidth="1"/>
    <col min="2" max="2" width="32" style="11" customWidth="1"/>
    <col min="3" max="3" width="38" style="11" customWidth="1"/>
    <col min="4" max="4" width="2.7109375" customWidth="1"/>
    <col min="5" max="5" width="17.140625" customWidth="1"/>
    <col min="6" max="6" width="21.7109375" customWidth="1"/>
    <col min="7" max="7" width="15.7109375" customWidth="1"/>
    <col min="8" max="8" width="21.42578125" customWidth="1"/>
    <col min="9" max="9" width="20.42578125" customWidth="1"/>
    <col min="10" max="11" width="20.42578125" hidden="1" customWidth="1"/>
    <col min="12" max="12" width="24.85546875" hidden="1" customWidth="1"/>
    <col min="13" max="13" width="22.28515625" bestFit="1" customWidth="1"/>
  </cols>
  <sheetData>
    <row r="1" spans="2:13" x14ac:dyDescent="0.25">
      <c r="E1" s="26" t="s">
        <v>2</v>
      </c>
      <c r="F1" s="26" t="s">
        <v>3</v>
      </c>
      <c r="G1" s="26" t="s">
        <v>4</v>
      </c>
      <c r="H1" s="26" t="s">
        <v>5</v>
      </c>
      <c r="I1" s="26" t="s">
        <v>7</v>
      </c>
      <c r="J1" s="26" t="s">
        <v>68</v>
      </c>
      <c r="K1" s="26" t="s">
        <v>50</v>
      </c>
      <c r="L1" s="26" t="s">
        <v>8</v>
      </c>
      <c r="M1" s="26" t="s">
        <v>382</v>
      </c>
    </row>
    <row r="2" spans="2:13" x14ac:dyDescent="0.25">
      <c r="B2" s="12" t="s">
        <v>42</v>
      </c>
      <c r="C2" s="15">
        <v>3.3</v>
      </c>
      <c r="E2" t="s">
        <v>53</v>
      </c>
      <c r="F2" s="1" t="s">
        <v>59</v>
      </c>
      <c r="G2" s="1">
        <v>44330</v>
      </c>
      <c r="H2" s="1">
        <v>44317</v>
      </c>
      <c r="I2" s="1">
        <v>44347</v>
      </c>
      <c r="J2" s="8">
        <f>IF(TablaOrganismo[Periodicidad de Pago]="","",VLOOKUP(TablaOrganismo[Periodicidad de Pago],Cat!$D$1:$E$12,2,0))</f>
        <v>5</v>
      </c>
      <c r="K2" s="18" t="str">
        <f>IF(TablaOrganismo[Tipo de Nómina]="","",VLOOKUP(TablaOrganismo[Tipo de Nómina],Cat!$A$2:$B$3,2,0))</f>
        <v>O</v>
      </c>
      <c r="L2" s="4">
        <f>IF(OR(TablaOrganismo[Fecha Inicial de pago]&gt;TablaOrganismo[Fecha Final de pago],TablaOrganismo[Fecha Inicial de pago]="",TablaOrganismo[Fecha Final de pago]=""),"",TablaOrganismo[Fecha Final de pago]-TablaOrganismo[Fecha Inicial de pago]+1)</f>
        <v>31</v>
      </c>
      <c r="M2" t="s">
        <v>384</v>
      </c>
    </row>
    <row r="3" spans="2:13" x14ac:dyDescent="0.25">
      <c r="B3" s="12" t="s">
        <v>43</v>
      </c>
      <c r="C3" s="15" t="str">
        <f>CONCATENATE(COUNT(TablaTrabajadores[[#All],[Número de Empleado]]),IF(TablaOrganismo[Nómina Sindicalizada]="No","C","S"),IFERROR(IF(FIND(" ",E4)&gt;0,LEFT(E4,1)&amp;MID(E4,FIND(" ",E4)+1,1)),LEFT(E4,1)),TEXT(TablaOrganismo[Fecha de Pago],"aaaa"),TEXT(TablaOrganismo[Fecha de Pago],"mmm"),IF(TEXT(TablaOrganismo[Fecha de Pago],"dd")="15","1era","2da"),TablaOrganismo[Clave Tipo de Nómina])</f>
        <v>18CO2021may2daO</v>
      </c>
    </row>
    <row r="4" spans="2:13" x14ac:dyDescent="0.25">
      <c r="B4" s="12" t="s">
        <v>44</v>
      </c>
      <c r="C4" s="15">
        <v>99</v>
      </c>
      <c r="E4" s="60" t="s">
        <v>51</v>
      </c>
      <c r="F4" s="61"/>
      <c r="G4" s="61"/>
    </row>
    <row r="5" spans="2:13" x14ac:dyDescent="0.25">
      <c r="B5" s="12" t="s">
        <v>45</v>
      </c>
      <c r="C5" s="15" t="s">
        <v>270</v>
      </c>
      <c r="E5" s="61"/>
      <c r="F5" s="61"/>
      <c r="G5" s="61"/>
    </row>
    <row r="6" spans="2:13" x14ac:dyDescent="0.25">
      <c r="B6" s="12" t="s">
        <v>46</v>
      </c>
      <c r="C6" s="15" t="s">
        <v>271</v>
      </c>
    </row>
    <row r="7" spans="2:13" ht="14.45" x14ac:dyDescent="0.3">
      <c r="B7" s="12" t="s">
        <v>47</v>
      </c>
      <c r="C7" s="15" t="s">
        <v>48</v>
      </c>
    </row>
    <row r="8" spans="2:13" ht="15" customHeight="1" x14ac:dyDescent="0.25">
      <c r="B8" s="25" t="s">
        <v>49</v>
      </c>
      <c r="C8" s="13">
        <v>29039</v>
      </c>
    </row>
    <row r="9" spans="2:13" ht="15" customHeight="1" x14ac:dyDescent="0.25">
      <c r="B9" s="25" t="s">
        <v>273</v>
      </c>
      <c r="C9" s="14" t="s">
        <v>423</v>
      </c>
    </row>
    <row r="10" spans="2:13" ht="15" customHeight="1" x14ac:dyDescent="0.25">
      <c r="B10" s="25" t="s">
        <v>272</v>
      </c>
      <c r="C10" s="14" t="s">
        <v>424</v>
      </c>
    </row>
    <row r="11" spans="2:13" ht="15" customHeight="1" x14ac:dyDescent="0.25">
      <c r="B11" s="25" t="s">
        <v>274</v>
      </c>
      <c r="C11" s="14">
        <v>603</v>
      </c>
    </row>
    <row r="12" spans="2:13" ht="15" customHeight="1" x14ac:dyDescent="0.25">
      <c r="B12" s="25" t="s">
        <v>277</v>
      </c>
      <c r="C12" s="14" t="s">
        <v>425</v>
      </c>
    </row>
    <row r="13" spans="2:13" ht="15" customHeight="1" x14ac:dyDescent="0.25">
      <c r="B13" s="25" t="s">
        <v>274</v>
      </c>
      <c r="C13" s="14" t="s">
        <v>362</v>
      </c>
    </row>
  </sheetData>
  <mergeCells count="1">
    <mergeCell ref="E4:G5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Cat!$A$2:$A$3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Cat!$D$2:$D$12</xm:f>
          </x14:formula1>
          <xm:sqref>F2</xm:sqref>
        </x14:dataValidation>
        <x14:dataValidation type="list" allowBlank="1" showInputMessage="1" showErrorMessage="1" xr:uid="{00000000-0002-0000-0000-000002000000}">
          <x14:formula1>
            <xm:f>Cat!$AF$2:$AF$22</xm:f>
          </x14:formula1>
          <xm:sqref>C13</xm:sqref>
        </x14:dataValidation>
        <x14:dataValidation type="list" allowBlank="1" showInputMessage="1" showErrorMessage="1" xr:uid="{00000000-0002-0000-0000-000003000000}">
          <x14:formula1>
            <xm:f>Cat!$AI$2:$AI$3</xm:f>
          </x14:formula1>
          <xm:sqref>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N19"/>
  <sheetViews>
    <sheetView zoomScaleNormal="100" workbookViewId="0">
      <selection activeCell="D9" sqref="D9"/>
    </sheetView>
  </sheetViews>
  <sheetFormatPr baseColWidth="10" defaultRowHeight="15" x14ac:dyDescent="0.25"/>
  <cols>
    <col min="1" max="1" width="22" bestFit="1" customWidth="1"/>
    <col min="2" max="2" width="16.28515625" customWidth="1"/>
    <col min="3" max="3" width="29.5703125" bestFit="1" customWidth="1"/>
    <col min="4" max="4" width="22.140625" bestFit="1" customWidth="1"/>
    <col min="5" max="5" width="13.85546875" customWidth="1"/>
    <col min="6" max="6" width="28.42578125" customWidth="1"/>
    <col min="7" max="7" width="49" bestFit="1" customWidth="1"/>
    <col min="8" max="8" width="15.85546875" bestFit="1" customWidth="1"/>
    <col min="9" max="9" width="20.42578125" bestFit="1" customWidth="1"/>
    <col min="10" max="10" width="56" bestFit="1" customWidth="1"/>
    <col min="11" max="11" width="63.140625" bestFit="1" customWidth="1"/>
    <col min="12" max="12" width="18.5703125" style="24" bestFit="1" customWidth="1"/>
    <col min="13" max="16" width="18.5703125" customWidth="1"/>
    <col min="17" max="17" width="19.42578125" customWidth="1"/>
    <col min="18" max="18" width="5.42578125" customWidth="1"/>
    <col min="19" max="19" width="7" bestFit="1" customWidth="1"/>
    <col min="20" max="20" width="23.5703125" customWidth="1"/>
    <col min="21" max="21" width="23.7109375" customWidth="1"/>
    <col min="22" max="22" width="22.85546875" customWidth="1"/>
    <col min="23" max="23" width="22.28515625" customWidth="1"/>
    <col min="24" max="24" width="21.42578125" customWidth="1"/>
    <col min="25" max="25" width="13.5703125" customWidth="1"/>
    <col min="26" max="26" width="21.7109375" customWidth="1"/>
    <col min="27" max="27" width="21.140625" customWidth="1"/>
    <col min="28" max="28" width="15.5703125" customWidth="1"/>
    <col min="29" max="29" width="14.28515625" customWidth="1"/>
    <col min="30" max="30" width="24.85546875" customWidth="1"/>
    <col min="31" max="31" width="27.140625" customWidth="1"/>
    <col min="32" max="32" width="26.140625" customWidth="1"/>
    <col min="33" max="33" width="24.5703125" customWidth="1"/>
    <col min="34" max="34" width="19.28515625" customWidth="1"/>
    <col min="35" max="35" width="18.7109375" customWidth="1"/>
    <col min="36" max="36" width="15" style="23" customWidth="1"/>
    <col min="37" max="37" width="14.7109375" customWidth="1"/>
    <col min="38" max="38" width="30.85546875" customWidth="1"/>
    <col min="39" max="39" width="29.5703125" customWidth="1"/>
  </cols>
  <sheetData>
    <row r="1" spans="1:40" x14ac:dyDescent="0.25">
      <c r="A1" s="17" t="s">
        <v>69</v>
      </c>
      <c r="B1" s="26" t="s">
        <v>0</v>
      </c>
      <c r="C1" s="26" t="s">
        <v>1</v>
      </c>
      <c r="D1" s="26" t="s">
        <v>9</v>
      </c>
      <c r="E1" s="26" t="s">
        <v>13</v>
      </c>
      <c r="F1" s="26" t="s">
        <v>14</v>
      </c>
      <c r="G1" s="26" t="s">
        <v>16</v>
      </c>
      <c r="H1" s="26" t="s">
        <v>17</v>
      </c>
      <c r="I1" s="3" t="s">
        <v>18</v>
      </c>
      <c r="J1" s="3" t="s">
        <v>19</v>
      </c>
      <c r="K1" s="3" t="s">
        <v>20</v>
      </c>
      <c r="L1" s="27" t="s">
        <v>275</v>
      </c>
      <c r="M1" s="26" t="s">
        <v>276</v>
      </c>
      <c r="N1" s="16" t="s">
        <v>278</v>
      </c>
      <c r="O1" s="16" t="s">
        <v>286</v>
      </c>
      <c r="P1" s="26" t="s">
        <v>288</v>
      </c>
      <c r="Q1" s="26" t="s">
        <v>22</v>
      </c>
      <c r="R1" s="3" t="s">
        <v>23</v>
      </c>
      <c r="S1" s="3" t="s">
        <v>24</v>
      </c>
      <c r="T1" s="4" t="s">
        <v>81</v>
      </c>
      <c r="U1" s="9" t="s">
        <v>95</v>
      </c>
      <c r="V1" s="4" t="s">
        <v>10</v>
      </c>
      <c r="W1" s="9" t="s">
        <v>11</v>
      </c>
      <c r="X1" s="4" t="s">
        <v>12</v>
      </c>
      <c r="Y1" s="9" t="s">
        <v>15</v>
      </c>
      <c r="Z1" s="4" t="s">
        <v>356</v>
      </c>
      <c r="AA1" s="9" t="s">
        <v>357</v>
      </c>
      <c r="AB1" s="4" t="s">
        <v>25</v>
      </c>
      <c r="AC1" s="9" t="s">
        <v>26</v>
      </c>
      <c r="AD1" s="4" t="s">
        <v>32</v>
      </c>
      <c r="AE1" s="9" t="s">
        <v>33</v>
      </c>
      <c r="AF1" s="4" t="s">
        <v>287</v>
      </c>
      <c r="AG1" s="9" t="s">
        <v>355</v>
      </c>
      <c r="AH1" s="4" t="s">
        <v>358</v>
      </c>
      <c r="AI1" s="9" t="s">
        <v>359</v>
      </c>
      <c r="AJ1" s="8" t="s">
        <v>398</v>
      </c>
      <c r="AK1" s="9" t="s">
        <v>399</v>
      </c>
      <c r="AL1" s="9" t="s">
        <v>400</v>
      </c>
      <c r="AM1" s="9" t="s">
        <v>401</v>
      </c>
      <c r="AN1" s="26" t="s">
        <v>397</v>
      </c>
    </row>
    <row r="2" spans="1:40" x14ac:dyDescent="0.25">
      <c r="A2" s="3">
        <v>1</v>
      </c>
      <c r="B2" s="30" t="s">
        <v>429</v>
      </c>
      <c r="C2" s="30" t="s">
        <v>421</v>
      </c>
      <c r="D2" s="30" t="s">
        <v>430</v>
      </c>
      <c r="E2" s="30">
        <v>71089008313</v>
      </c>
      <c r="F2" s="31">
        <v>42826</v>
      </c>
      <c r="G2" s="3" t="s">
        <v>71</v>
      </c>
      <c r="H2" s="3" t="s">
        <v>83</v>
      </c>
      <c r="I2" s="32">
        <v>967</v>
      </c>
      <c r="J2" s="36" t="s">
        <v>426</v>
      </c>
      <c r="K2" s="35" t="s">
        <v>431</v>
      </c>
      <c r="L2" s="33">
        <v>1</v>
      </c>
      <c r="M2" s="34">
        <v>157.26602557077624</v>
      </c>
      <c r="N2" s="20" t="s">
        <v>283</v>
      </c>
      <c r="O2" s="3"/>
      <c r="P2" s="3" t="s">
        <v>302</v>
      </c>
      <c r="Q2" s="35" t="s">
        <v>432</v>
      </c>
      <c r="R2" s="30" t="s">
        <v>427</v>
      </c>
      <c r="S2" s="3"/>
      <c r="T2" s="33">
        <f>IF(TablaTrabajadores[[#This Row],[Tipo de Contrato]]="","",VLOOKUP(TablaTrabajadores[[#This Row],[Tipo de Contrato]],Cat!$G$1:$H$12,2,0))</f>
        <v>1</v>
      </c>
      <c r="U2" s="33">
        <f>IF(TablaTrabajadores[[#This Row],[Tipo de Régimen]]="","",VLOOKUP(TablaTrabajadores[[#This Row],[Tipo de Régimen]],Cat!$J$1:$K$13,2,0))</f>
        <v>2</v>
      </c>
      <c r="V2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2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2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2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P217W</v>
      </c>
      <c r="Z2" s="32">
        <f>COUNTIF(TablaPercepciones[[#All],[Trabajador]],TablaTrabajadores[[#This Row],[Nombre Trabajador]])</f>
        <v>4</v>
      </c>
      <c r="AA2" s="32">
        <f>COUNTIF(TablaDeducciones[[#All],[Trabajador]],TablaTrabajadores[[#This Row],[Nombre Trabajador]])</f>
        <v>2</v>
      </c>
      <c r="AB2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2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2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2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2" s="32" t="str">
        <f>IF(TablaTrabajadores[[#This Row],[Origen del Recurso]]="","",VLOOKUP(TablaTrabajadores[[#This Row],[Origen del Recurso]],Cat!Y:Z,2,0))</f>
        <v>IP</v>
      </c>
      <c r="AG2" s="32" t="str">
        <f>IF(TablaTrabajadores[[#This Row],[Entidad Federativa]]="","",VLOOKUP(TablaTrabajadores[[#This Row],[Entidad Federativa]],Cat!AB:AC,2,0))</f>
        <v>CHP</v>
      </c>
      <c r="AH2" s="32">
        <f>COUNTIF(TablaHorasExtra[[#All],[Trabajador]],TablaTrabajadores[[#This Row],[Nombre Trabajador]])</f>
        <v>0</v>
      </c>
      <c r="AI2" s="32">
        <f>COUNTIF(TablaOtrosPagos[[#All],[Trabajador]],TablaTrabajadores[[#This Row],[Nombre Trabajador]])</f>
        <v>1</v>
      </c>
      <c r="AJ2" s="33">
        <f>IF(TablaTrabajadores[[#This Row],[Tipo de Jornada]]="","",VLOOKUP(TablaTrabajadores[[#This Row],[Tipo de Jornada]],Cat!AK:AL,2,0))</f>
        <v>1</v>
      </c>
      <c r="AK2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2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2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2" s="3" t="s">
        <v>388</v>
      </c>
    </row>
    <row r="3" spans="1:40" x14ac:dyDescent="0.25">
      <c r="A3" s="3">
        <v>2</v>
      </c>
      <c r="B3" s="30" t="s">
        <v>435</v>
      </c>
      <c r="C3" s="30" t="s">
        <v>420</v>
      </c>
      <c r="D3" s="30" t="s">
        <v>436</v>
      </c>
      <c r="E3" s="30">
        <v>71907233135</v>
      </c>
      <c r="F3" s="31">
        <v>43891</v>
      </c>
      <c r="G3" s="3" t="s">
        <v>71</v>
      </c>
      <c r="H3" s="3" t="s">
        <v>83</v>
      </c>
      <c r="I3" s="32">
        <v>5184</v>
      </c>
      <c r="J3" s="36" t="s">
        <v>437</v>
      </c>
      <c r="K3" s="35" t="s">
        <v>431</v>
      </c>
      <c r="L3" s="33">
        <v>1</v>
      </c>
      <c r="M3" s="34">
        <v>157.26602557077624</v>
      </c>
      <c r="N3" s="20" t="s">
        <v>283</v>
      </c>
      <c r="O3" s="3"/>
      <c r="P3" s="3" t="s">
        <v>302</v>
      </c>
      <c r="Q3" s="35" t="s">
        <v>427</v>
      </c>
      <c r="R3" s="30" t="s">
        <v>427</v>
      </c>
      <c r="S3" s="3"/>
      <c r="T3" s="33">
        <f>IF(TablaTrabajadores[[#This Row],[Tipo de Contrato]]="","",VLOOKUP(TablaTrabajadores[[#This Row],[Tipo de Contrato]],Cat!$G$1:$H$12,2,0))</f>
        <v>1</v>
      </c>
      <c r="U3" s="33">
        <f>IF(TablaTrabajadores[[#This Row],[Tipo de Régimen]]="","",VLOOKUP(TablaTrabajadores[[#This Row],[Tipo de Régimen]],Cat!$J$1:$K$13,2,0))</f>
        <v>2</v>
      </c>
      <c r="V3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3" s="32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0</v>
      </c>
      <c r="X3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3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P65W</v>
      </c>
      <c r="Z3" s="32">
        <f>COUNTIF(TablaPercepciones[[#All],[Trabajador]],TablaTrabajadores[[#This Row],[Nombre Trabajador]])</f>
        <v>4</v>
      </c>
      <c r="AA3" s="32">
        <f>COUNTIF(TablaDeducciones[[#All],[Trabajador]],TablaTrabajadores[[#This Row],[Nombre Trabajador]])</f>
        <v>0</v>
      </c>
      <c r="AB3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3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3" s="32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0</v>
      </c>
      <c r="AE3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3" s="32" t="str">
        <f>IF(TablaTrabajadores[[#This Row],[Origen del Recurso]]="","",VLOOKUP(TablaTrabajadores[[#This Row],[Origen del Recurso]],Cat!Y:Z,2,0))</f>
        <v>IP</v>
      </c>
      <c r="AG3" s="32" t="str">
        <f>IF(TablaTrabajadores[[#This Row],[Entidad Federativa]]="","",VLOOKUP(TablaTrabajadores[[#This Row],[Entidad Federativa]],Cat!AB:AC,2,0))</f>
        <v>CHP</v>
      </c>
      <c r="AH3" s="32">
        <f>COUNTIF(TablaHorasExtra[[#All],[Trabajador]],TablaTrabajadores[[#This Row],[Nombre Trabajador]])</f>
        <v>0</v>
      </c>
      <c r="AI3" s="32">
        <f>COUNTIF(TablaOtrosPagos[[#All],[Trabajador]],TablaTrabajadores[[#This Row],[Nombre Trabajador]])</f>
        <v>1</v>
      </c>
      <c r="AJ3" s="33">
        <f>IF(TablaTrabajadores[[#This Row],[Tipo de Jornada]]="","",VLOOKUP(TablaTrabajadores[[#This Row],[Tipo de Jornada]],Cat!AK:AL,2,0))</f>
        <v>1</v>
      </c>
      <c r="AK3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3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3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3" s="3" t="s">
        <v>388</v>
      </c>
    </row>
    <row r="4" spans="1:40" x14ac:dyDescent="0.25">
      <c r="A4" s="3">
        <v>3</v>
      </c>
      <c r="B4" s="30" t="s">
        <v>438</v>
      </c>
      <c r="C4" s="30" t="s">
        <v>408</v>
      </c>
      <c r="D4" s="30" t="s">
        <v>439</v>
      </c>
      <c r="E4" s="30">
        <v>71937743913</v>
      </c>
      <c r="F4" s="31">
        <v>38169</v>
      </c>
      <c r="G4" s="3" t="s">
        <v>71</v>
      </c>
      <c r="H4" s="3" t="s">
        <v>83</v>
      </c>
      <c r="I4" s="32">
        <v>88</v>
      </c>
      <c r="J4" s="36" t="s">
        <v>440</v>
      </c>
      <c r="K4" s="35" t="s">
        <v>431</v>
      </c>
      <c r="L4" s="33">
        <v>1</v>
      </c>
      <c r="M4" s="34">
        <v>157.7603400913242</v>
      </c>
      <c r="N4" s="20" t="s">
        <v>283</v>
      </c>
      <c r="O4" s="3"/>
      <c r="P4" s="3" t="s">
        <v>302</v>
      </c>
      <c r="Q4" s="35" t="s">
        <v>427</v>
      </c>
      <c r="R4" s="30" t="s">
        <v>427</v>
      </c>
      <c r="S4" s="3"/>
      <c r="T4" s="33">
        <f>IF(TablaTrabajadores[[#This Row],[Tipo de Contrato]]="","",VLOOKUP(TablaTrabajadores[[#This Row],[Tipo de Contrato]],Cat!$G$1:$H$12,2,0))</f>
        <v>1</v>
      </c>
      <c r="U4" s="33">
        <f>IF(TablaTrabajadores[[#This Row],[Tipo de Régimen]]="","",VLOOKUP(TablaTrabajadores[[#This Row],[Tipo de Régimen]],Cat!$J$1:$K$13,2,0))</f>
        <v>2</v>
      </c>
      <c r="V4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4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4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4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P882W</v>
      </c>
      <c r="Z4" s="32">
        <f>COUNTIF(TablaPercepciones[[#All],[Trabajador]],TablaTrabajadores[[#This Row],[Nombre Trabajador]])</f>
        <v>4</v>
      </c>
      <c r="AA4" s="32">
        <f>COUNTIF(TablaDeducciones[[#All],[Trabajador]],TablaTrabajadores[[#This Row],[Nombre Trabajador]])</f>
        <v>1</v>
      </c>
      <c r="AB4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4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4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4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4" s="32" t="str">
        <f>IF(TablaTrabajadores[[#This Row],[Origen del Recurso]]="","",VLOOKUP(TablaTrabajadores[[#This Row],[Origen del Recurso]],Cat!Y:Z,2,0))</f>
        <v>IP</v>
      </c>
      <c r="AG4" s="32" t="str">
        <f>IF(TablaTrabajadores[[#This Row],[Entidad Federativa]]="","",VLOOKUP(TablaTrabajadores[[#This Row],[Entidad Federativa]],Cat!AB:AC,2,0))</f>
        <v>CHP</v>
      </c>
      <c r="AH4" s="32">
        <f>COUNTIF(TablaHorasExtra[[#All],[Trabajador]],TablaTrabajadores[[#This Row],[Nombre Trabajador]])</f>
        <v>0</v>
      </c>
      <c r="AI4" s="32">
        <f>COUNTIF(TablaOtrosPagos[[#All],[Trabajador]],TablaTrabajadores[[#This Row],[Nombre Trabajador]])</f>
        <v>1</v>
      </c>
      <c r="AJ4" s="33">
        <f>IF(TablaTrabajadores[[#This Row],[Tipo de Jornada]]="","",VLOOKUP(TablaTrabajadores[[#This Row],[Tipo de Jornada]],Cat!AK:AL,2,0))</f>
        <v>1</v>
      </c>
      <c r="AK4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4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4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4" s="3" t="s">
        <v>388</v>
      </c>
    </row>
    <row r="5" spans="1:40" x14ac:dyDescent="0.25">
      <c r="A5" s="3">
        <v>4</v>
      </c>
      <c r="B5" s="30" t="s">
        <v>442</v>
      </c>
      <c r="C5" s="30" t="s">
        <v>406</v>
      </c>
      <c r="D5" s="30" t="s">
        <v>443</v>
      </c>
      <c r="E5" s="30">
        <v>71755801777</v>
      </c>
      <c r="F5" s="31">
        <v>37104</v>
      </c>
      <c r="G5" s="3" t="s">
        <v>71</v>
      </c>
      <c r="H5" s="3" t="s">
        <v>83</v>
      </c>
      <c r="I5" s="32">
        <v>60</v>
      </c>
      <c r="J5" s="36" t="s">
        <v>444</v>
      </c>
      <c r="K5" s="35" t="s">
        <v>445</v>
      </c>
      <c r="L5" s="33">
        <v>1</v>
      </c>
      <c r="M5" s="34">
        <v>167.06316420091323</v>
      </c>
      <c r="N5" s="20" t="s">
        <v>283</v>
      </c>
      <c r="O5" s="3"/>
      <c r="P5" s="3" t="s">
        <v>302</v>
      </c>
      <c r="Q5" s="38" t="s">
        <v>446</v>
      </c>
      <c r="R5" s="30" t="s">
        <v>427</v>
      </c>
      <c r="S5" s="3"/>
      <c r="T5" s="33">
        <f>IF(TablaTrabajadores[[#This Row],[Tipo de Contrato]]="","",VLOOKUP(TablaTrabajadores[[#This Row],[Tipo de Contrato]],Cat!$G$1:$H$12,2,0))</f>
        <v>1</v>
      </c>
      <c r="U5" s="33">
        <f>IF(TablaTrabajadores[[#This Row],[Tipo de Régimen]]="","",VLOOKUP(TablaTrabajadores[[#This Row],[Tipo de Régimen]],Cat!$J$1:$K$13,2,0))</f>
        <v>2</v>
      </c>
      <c r="V5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5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5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5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P1034W</v>
      </c>
      <c r="Z5" s="32">
        <f>COUNTIF(TablaPercepciones[[#All],[Trabajador]],TablaTrabajadores[[#This Row],[Nombre Trabajador]])</f>
        <v>4</v>
      </c>
      <c r="AA5" s="32">
        <f>COUNTIF(TablaDeducciones[[#All],[Trabajador]],TablaTrabajadores[[#This Row],[Nombre Trabajador]])</f>
        <v>1</v>
      </c>
      <c r="AB5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5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5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5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5" s="32" t="str">
        <f>IF(TablaTrabajadores[[#This Row],[Origen del Recurso]]="","",VLOOKUP(TablaTrabajadores[[#This Row],[Origen del Recurso]],Cat!Y:Z,2,0))</f>
        <v>IP</v>
      </c>
      <c r="AG5" s="32" t="str">
        <f>IF(TablaTrabajadores[[#This Row],[Entidad Federativa]]="","",VLOOKUP(TablaTrabajadores[[#This Row],[Entidad Federativa]],Cat!AB:AC,2,0))</f>
        <v>CHP</v>
      </c>
      <c r="AH5" s="32">
        <f>COUNTIF(TablaHorasExtra[[#All],[Trabajador]],TablaTrabajadores[[#This Row],[Nombre Trabajador]])</f>
        <v>0</v>
      </c>
      <c r="AI5" s="32">
        <f>COUNTIF(TablaOtrosPagos[[#All],[Trabajador]],TablaTrabajadores[[#This Row],[Nombre Trabajador]])</f>
        <v>1</v>
      </c>
      <c r="AJ5" s="33">
        <f>IF(TablaTrabajadores[[#This Row],[Tipo de Jornada]]="","",VLOOKUP(TablaTrabajadores[[#This Row],[Tipo de Jornada]],Cat!AK:AL,2,0))</f>
        <v>1</v>
      </c>
      <c r="AK5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5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5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5" s="3" t="s">
        <v>388</v>
      </c>
    </row>
    <row r="6" spans="1:40" x14ac:dyDescent="0.25">
      <c r="A6" s="3">
        <v>5</v>
      </c>
      <c r="B6" s="30" t="s">
        <v>447</v>
      </c>
      <c r="C6" s="30" t="s">
        <v>411</v>
      </c>
      <c r="D6" s="30" t="s">
        <v>448</v>
      </c>
      <c r="E6" s="30">
        <v>71139306915</v>
      </c>
      <c r="F6" s="31">
        <v>42902</v>
      </c>
      <c r="G6" s="3" t="s">
        <v>71</v>
      </c>
      <c r="H6" s="3" t="s">
        <v>83</v>
      </c>
      <c r="I6" s="32">
        <v>986</v>
      </c>
      <c r="J6" s="36" t="s">
        <v>449</v>
      </c>
      <c r="K6" s="35" t="s">
        <v>450</v>
      </c>
      <c r="L6" s="33">
        <v>1</v>
      </c>
      <c r="M6" s="34">
        <v>201.8175406392694</v>
      </c>
      <c r="N6" s="20" t="s">
        <v>283</v>
      </c>
      <c r="O6" s="3"/>
      <c r="P6" s="3" t="s">
        <v>302</v>
      </c>
      <c r="Q6" s="37" t="s">
        <v>451</v>
      </c>
      <c r="R6" s="30" t="s">
        <v>427</v>
      </c>
      <c r="S6" s="3"/>
      <c r="T6" s="33">
        <f>IF(TablaTrabajadores[[#This Row],[Tipo de Contrato]]="","",VLOOKUP(TablaTrabajadores[[#This Row],[Tipo de Contrato]],Cat!$G$1:$H$12,2,0))</f>
        <v>1</v>
      </c>
      <c r="U6" s="33">
        <f>IF(TablaTrabajadores[[#This Row],[Tipo de Régimen]]="","",VLOOKUP(TablaTrabajadores[[#This Row],[Tipo de Régimen]],Cat!$J$1:$K$13,2,0))</f>
        <v>2</v>
      </c>
      <c r="V6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6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6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6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P206W</v>
      </c>
      <c r="Z6" s="32">
        <f>COUNTIF(TablaPercepciones[[#All],[Trabajador]],TablaTrabajadores[[#This Row],[Nombre Trabajador]])</f>
        <v>4</v>
      </c>
      <c r="AA6" s="32">
        <f>COUNTIF(TablaDeducciones[[#All],[Trabajador]],TablaTrabajadores[[#This Row],[Nombre Trabajador]])</f>
        <v>2</v>
      </c>
      <c r="AB6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6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6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6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6" s="32" t="str">
        <f>IF(TablaTrabajadores[[#This Row],[Origen del Recurso]]="","",VLOOKUP(TablaTrabajadores[[#This Row],[Origen del Recurso]],Cat!Y:Z,2,0))</f>
        <v>IP</v>
      </c>
      <c r="AG6" s="32" t="str">
        <f>IF(TablaTrabajadores[[#This Row],[Entidad Federativa]]="","",VLOOKUP(TablaTrabajadores[[#This Row],[Entidad Federativa]],Cat!AB:AC,2,0))</f>
        <v>CHP</v>
      </c>
      <c r="AH6" s="32">
        <f>COUNTIF(TablaHorasExtra[[#All],[Trabajador]],TablaTrabajadores[[#This Row],[Nombre Trabajador]])</f>
        <v>0</v>
      </c>
      <c r="AI6" s="32">
        <f>COUNTIF(TablaOtrosPagos[[#All],[Trabajador]],TablaTrabajadores[[#This Row],[Nombre Trabajador]])</f>
        <v>1</v>
      </c>
      <c r="AJ6" s="33">
        <f>IF(TablaTrabajadores[[#This Row],[Tipo de Jornada]]="","",VLOOKUP(TablaTrabajadores[[#This Row],[Tipo de Jornada]],Cat!AK:AL,2,0))</f>
        <v>3</v>
      </c>
      <c r="AK6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6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6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6" s="3" t="s">
        <v>390</v>
      </c>
    </row>
    <row r="7" spans="1:40" x14ac:dyDescent="0.25">
      <c r="A7" s="3">
        <v>6</v>
      </c>
      <c r="B7" s="30" t="s">
        <v>453</v>
      </c>
      <c r="C7" s="30" t="s">
        <v>412</v>
      </c>
      <c r="D7" s="30" t="s">
        <v>454</v>
      </c>
      <c r="E7" s="30">
        <v>71118205427</v>
      </c>
      <c r="F7" s="39">
        <v>42917</v>
      </c>
      <c r="G7" s="3" t="s">
        <v>71</v>
      </c>
      <c r="H7" s="3" t="s">
        <v>83</v>
      </c>
      <c r="I7" s="40">
        <v>991</v>
      </c>
      <c r="J7" s="40" t="s">
        <v>455</v>
      </c>
      <c r="K7" s="40" t="s">
        <v>431</v>
      </c>
      <c r="L7" s="33">
        <v>1</v>
      </c>
      <c r="M7" s="59">
        <v>157.26602557077624</v>
      </c>
      <c r="N7" s="41" t="s">
        <v>283</v>
      </c>
      <c r="O7" s="3"/>
      <c r="P7" s="3" t="s">
        <v>302</v>
      </c>
      <c r="Q7" s="42" t="s">
        <v>456</v>
      </c>
      <c r="R7" s="30" t="s">
        <v>427</v>
      </c>
      <c r="S7" s="3"/>
      <c r="T7" s="33">
        <f>IF(TablaTrabajadores[[#This Row],[Tipo de Contrato]]="","",VLOOKUP(TablaTrabajadores[[#This Row],[Tipo de Contrato]],Cat!$G$1:$H$12,2,0))</f>
        <v>1</v>
      </c>
      <c r="U7" s="33">
        <f>IF(TablaTrabajadores[[#This Row],[Tipo de Régimen]]="","",VLOOKUP(TablaTrabajadores[[#This Row],[Tipo de Régimen]],Cat!$J$1:$K$13,2,0))</f>
        <v>2</v>
      </c>
      <c r="V7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7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7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7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P204W</v>
      </c>
      <c r="Z7" s="32">
        <f>COUNTIF(TablaPercepciones[[#All],[Trabajador]],TablaTrabajadores[[#This Row],[Nombre Trabajador]])</f>
        <v>4</v>
      </c>
      <c r="AA7" s="32">
        <f>COUNTIF(TablaDeducciones[[#All],[Trabajador]],TablaTrabajadores[[#This Row],[Nombre Trabajador]])</f>
        <v>1</v>
      </c>
      <c r="AB7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7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7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7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7" s="32" t="str">
        <f>IF(TablaTrabajadores[[#This Row],[Origen del Recurso]]="","",VLOOKUP(TablaTrabajadores[[#This Row],[Origen del Recurso]],Cat!Y:Z,2,0))</f>
        <v>IP</v>
      </c>
      <c r="AG7" s="32" t="str">
        <f>IF(TablaTrabajadores[[#This Row],[Entidad Federativa]]="","",VLOOKUP(TablaTrabajadores[[#This Row],[Entidad Federativa]],Cat!AB:AC,2,0))</f>
        <v>CHP</v>
      </c>
      <c r="AH7" s="32">
        <f>COUNTIF(TablaHorasExtra[[#All],[Trabajador]],TablaTrabajadores[[#This Row],[Nombre Trabajador]])</f>
        <v>0</v>
      </c>
      <c r="AI7" s="32">
        <f>COUNTIF(TablaOtrosPagos[[#All],[Trabajador]],TablaTrabajadores[[#This Row],[Nombre Trabajador]])</f>
        <v>1</v>
      </c>
      <c r="AJ7" s="33">
        <f>IF(TablaTrabajadores[[#This Row],[Tipo de Jornada]]="","",VLOOKUP(TablaTrabajadores[[#This Row],[Tipo de Jornada]],Cat!AK:AL,2,0))</f>
        <v>1</v>
      </c>
      <c r="AK7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7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7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7" s="3" t="s">
        <v>388</v>
      </c>
    </row>
    <row r="8" spans="1:40" x14ac:dyDescent="0.25">
      <c r="A8" s="3">
        <v>7</v>
      </c>
      <c r="B8" s="30" t="s">
        <v>457</v>
      </c>
      <c r="C8" s="30" t="s">
        <v>418</v>
      </c>
      <c r="D8" s="30" t="s">
        <v>458</v>
      </c>
      <c r="E8" s="30">
        <v>71128617330</v>
      </c>
      <c r="F8" s="39">
        <v>43647</v>
      </c>
      <c r="G8" s="3" t="s">
        <v>71</v>
      </c>
      <c r="H8" s="3" t="s">
        <v>83</v>
      </c>
      <c r="I8" s="40">
        <v>5170</v>
      </c>
      <c r="J8" s="40" t="s">
        <v>428</v>
      </c>
      <c r="K8" s="40" t="s">
        <v>431</v>
      </c>
      <c r="L8" s="33">
        <v>1</v>
      </c>
      <c r="M8" s="59">
        <v>157.26602557077624</v>
      </c>
      <c r="N8" s="41" t="s">
        <v>283</v>
      </c>
      <c r="O8" s="3"/>
      <c r="P8" s="3" t="s">
        <v>302</v>
      </c>
      <c r="Q8" s="42" t="s">
        <v>459</v>
      </c>
      <c r="R8" s="30" t="s">
        <v>427</v>
      </c>
      <c r="S8" s="3"/>
      <c r="T8" s="33">
        <f>IF(TablaTrabajadores[[#This Row],[Tipo de Contrato]]="","",VLOOKUP(TablaTrabajadores[[#This Row],[Tipo de Contrato]],Cat!$G$1:$H$12,2,0))</f>
        <v>1</v>
      </c>
      <c r="U8" s="33">
        <f>IF(TablaTrabajadores[[#This Row],[Tipo de Régimen]]="","",VLOOKUP(TablaTrabajadores[[#This Row],[Tipo de Régimen]],Cat!$J$1:$K$13,2,0))</f>
        <v>2</v>
      </c>
      <c r="V8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8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8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8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P100W</v>
      </c>
      <c r="Z8" s="32">
        <f>COUNTIF(TablaPercepciones[[#All],[Trabajador]],TablaTrabajadores[[#This Row],[Nombre Trabajador]])</f>
        <v>4</v>
      </c>
      <c r="AA8" s="32">
        <f>COUNTIF(TablaDeducciones[[#All],[Trabajador]],TablaTrabajadores[[#This Row],[Nombre Trabajador]])</f>
        <v>1</v>
      </c>
      <c r="AB8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8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8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8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8" s="32" t="str">
        <f>IF(TablaTrabajadores[[#This Row],[Origen del Recurso]]="","",VLOOKUP(TablaTrabajadores[[#This Row],[Origen del Recurso]],Cat!Y:Z,2,0))</f>
        <v>IP</v>
      </c>
      <c r="AG8" s="32" t="str">
        <f>IF(TablaTrabajadores[[#This Row],[Entidad Federativa]]="","",VLOOKUP(TablaTrabajadores[[#This Row],[Entidad Federativa]],Cat!AB:AC,2,0))</f>
        <v>CHP</v>
      </c>
      <c r="AH8" s="32">
        <f>COUNTIF(TablaHorasExtra[[#All],[Trabajador]],TablaTrabajadores[[#This Row],[Nombre Trabajador]])</f>
        <v>0</v>
      </c>
      <c r="AI8" s="32">
        <f>COUNTIF(TablaOtrosPagos[[#All],[Trabajador]],TablaTrabajadores[[#This Row],[Nombre Trabajador]])</f>
        <v>1</v>
      </c>
      <c r="AJ8" s="33">
        <f>IF(TablaTrabajadores[[#This Row],[Tipo de Jornada]]="","",VLOOKUP(TablaTrabajadores[[#This Row],[Tipo de Jornada]],Cat!AK:AL,2,0))</f>
        <v>3</v>
      </c>
      <c r="AK8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8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8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8" s="3" t="s">
        <v>390</v>
      </c>
    </row>
    <row r="9" spans="1:40" x14ac:dyDescent="0.25">
      <c r="A9" s="3">
        <v>8</v>
      </c>
      <c r="B9" s="30" t="s">
        <v>460</v>
      </c>
      <c r="C9" s="30" t="s">
        <v>414</v>
      </c>
      <c r="D9" s="30" t="s">
        <v>461</v>
      </c>
      <c r="E9" s="30">
        <v>71917147556</v>
      </c>
      <c r="F9" s="39">
        <v>43116</v>
      </c>
      <c r="G9" s="3" t="s">
        <v>71</v>
      </c>
      <c r="H9" s="3" t="s">
        <v>83</v>
      </c>
      <c r="I9" s="40">
        <v>5126</v>
      </c>
      <c r="J9" s="40" t="s">
        <v>444</v>
      </c>
      <c r="K9" s="40" t="s">
        <v>445</v>
      </c>
      <c r="L9" s="33">
        <v>1</v>
      </c>
      <c r="M9" s="59">
        <v>166.53969954337896</v>
      </c>
      <c r="N9" s="41" t="s">
        <v>283</v>
      </c>
      <c r="O9" s="3"/>
      <c r="P9" s="3" t="s">
        <v>302</v>
      </c>
      <c r="Q9" s="42" t="s">
        <v>462</v>
      </c>
      <c r="R9" s="30" t="s">
        <v>427</v>
      </c>
      <c r="S9" s="3"/>
      <c r="T9" s="33">
        <f>IF(TablaTrabajadores[[#This Row],[Tipo de Contrato]]="","",VLOOKUP(TablaTrabajadores[[#This Row],[Tipo de Contrato]],Cat!$G$1:$H$12,2,0))</f>
        <v>1</v>
      </c>
      <c r="U9" s="33">
        <f>IF(TablaTrabajadores[[#This Row],[Tipo de Régimen]]="","",VLOOKUP(TablaTrabajadores[[#This Row],[Tipo de Régimen]],Cat!$J$1:$K$13,2,0))</f>
        <v>2</v>
      </c>
      <c r="V9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9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9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9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P175W</v>
      </c>
      <c r="Z9" s="32">
        <f>COUNTIF(TablaPercepciones[[#All],[Trabajador]],TablaTrabajadores[[#This Row],[Nombre Trabajador]])</f>
        <v>4</v>
      </c>
      <c r="AA9" s="32">
        <f>COUNTIF(TablaDeducciones[[#All],[Trabajador]],TablaTrabajadores[[#This Row],[Nombre Trabajador]])</f>
        <v>3</v>
      </c>
      <c r="AB9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9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9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9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9" s="32" t="str">
        <f>IF(TablaTrabajadores[[#This Row],[Origen del Recurso]]="","",VLOOKUP(TablaTrabajadores[[#This Row],[Origen del Recurso]],Cat!Y:Z,2,0))</f>
        <v>IP</v>
      </c>
      <c r="AG9" s="32" t="str">
        <f>IF(TablaTrabajadores[[#This Row],[Entidad Federativa]]="","",VLOOKUP(TablaTrabajadores[[#This Row],[Entidad Federativa]],Cat!AB:AC,2,0))</f>
        <v>CHP</v>
      </c>
      <c r="AH9" s="32">
        <f>COUNTIF(TablaHorasExtra[[#All],[Trabajador]],TablaTrabajadores[[#This Row],[Nombre Trabajador]])</f>
        <v>0</v>
      </c>
      <c r="AI9" s="32">
        <f>COUNTIF(TablaOtrosPagos[[#All],[Trabajador]],TablaTrabajadores[[#This Row],[Nombre Trabajador]])</f>
        <v>1</v>
      </c>
      <c r="AJ9" s="33">
        <f>IF(TablaTrabajadores[[#This Row],[Tipo de Jornada]]="","",VLOOKUP(TablaTrabajadores[[#This Row],[Tipo de Jornada]],Cat!AK:AL,2,0))</f>
        <v>1</v>
      </c>
      <c r="AK9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9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9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9" s="3" t="s">
        <v>388</v>
      </c>
    </row>
    <row r="10" spans="1:40" x14ac:dyDescent="0.25">
      <c r="A10" s="3">
        <v>9</v>
      </c>
      <c r="B10" s="30" t="s">
        <v>463</v>
      </c>
      <c r="C10" s="30" t="s">
        <v>409</v>
      </c>
      <c r="D10" s="30" t="s">
        <v>464</v>
      </c>
      <c r="E10" s="30">
        <v>71087402260</v>
      </c>
      <c r="F10" s="39">
        <v>39569</v>
      </c>
      <c r="G10" s="3" t="s">
        <v>71</v>
      </c>
      <c r="H10" s="3" t="s">
        <v>83</v>
      </c>
      <c r="I10" s="40">
        <v>362</v>
      </c>
      <c r="J10" s="40" t="s">
        <v>441</v>
      </c>
      <c r="K10" s="40" t="s">
        <v>431</v>
      </c>
      <c r="L10" s="33">
        <v>1</v>
      </c>
      <c r="M10" s="59">
        <v>157.7603400913242</v>
      </c>
      <c r="N10" s="41" t="s">
        <v>283</v>
      </c>
      <c r="O10" s="3"/>
      <c r="P10" s="3" t="s">
        <v>302</v>
      </c>
      <c r="Q10" s="42" t="s">
        <v>465</v>
      </c>
      <c r="R10" s="30" t="s">
        <v>427</v>
      </c>
      <c r="S10" s="3"/>
      <c r="T10" s="33">
        <f>IF(TablaTrabajadores[[#This Row],[Tipo de Contrato]]="","",VLOOKUP(TablaTrabajadores[[#This Row],[Tipo de Contrato]],Cat!$G$1:$H$12,2,0))</f>
        <v>1</v>
      </c>
      <c r="U10" s="33">
        <f>IF(TablaTrabajadores[[#This Row],[Tipo de Régimen]]="","",VLOOKUP(TablaTrabajadores[[#This Row],[Tipo de Régimen]],Cat!$J$1:$K$13,2,0))</f>
        <v>2</v>
      </c>
      <c r="V10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0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0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0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P682W</v>
      </c>
      <c r="Z10" s="32">
        <f>COUNTIF(TablaPercepciones[[#All],[Trabajador]],TablaTrabajadores[[#This Row],[Nombre Trabajador]])</f>
        <v>4</v>
      </c>
      <c r="AA10" s="32">
        <f>COUNTIF(TablaDeducciones[[#All],[Trabajador]],TablaTrabajadores[[#This Row],[Nombre Trabajador]])</f>
        <v>1</v>
      </c>
      <c r="AB10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0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0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0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0" s="32" t="str">
        <f>IF(TablaTrabajadores[[#This Row],[Origen del Recurso]]="","",VLOOKUP(TablaTrabajadores[[#This Row],[Origen del Recurso]],Cat!Y:Z,2,0))</f>
        <v>IP</v>
      </c>
      <c r="AG10" s="32" t="str">
        <f>IF(TablaTrabajadores[[#This Row],[Entidad Federativa]]="","",VLOOKUP(TablaTrabajadores[[#This Row],[Entidad Federativa]],Cat!AB:AC,2,0))</f>
        <v>CHP</v>
      </c>
      <c r="AH10" s="32">
        <f>COUNTIF(TablaHorasExtra[[#All],[Trabajador]],TablaTrabajadores[[#This Row],[Nombre Trabajador]])</f>
        <v>0</v>
      </c>
      <c r="AI10" s="32">
        <f>COUNTIF(TablaOtrosPagos[[#All],[Trabajador]],TablaTrabajadores[[#This Row],[Nombre Trabajador]])</f>
        <v>1</v>
      </c>
      <c r="AJ10" s="33">
        <f>IF(TablaTrabajadores[[#This Row],[Tipo de Jornada]]="","",VLOOKUP(TablaTrabajadores[[#This Row],[Tipo de Jornada]],Cat!AK:AL,2,0))</f>
        <v>2</v>
      </c>
      <c r="AK10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0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0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0" s="3" t="s">
        <v>389</v>
      </c>
    </row>
    <row r="11" spans="1:40" x14ac:dyDescent="0.25">
      <c r="A11" s="3">
        <v>10</v>
      </c>
      <c r="B11" s="30" t="s">
        <v>466</v>
      </c>
      <c r="C11" s="30" t="s">
        <v>416</v>
      </c>
      <c r="D11" s="30" t="s">
        <v>467</v>
      </c>
      <c r="E11" s="30">
        <v>71796009505</v>
      </c>
      <c r="F11" s="39">
        <v>43497</v>
      </c>
      <c r="G11" s="3" t="s">
        <v>71</v>
      </c>
      <c r="H11" s="3" t="s">
        <v>83</v>
      </c>
      <c r="I11" s="40">
        <v>5140</v>
      </c>
      <c r="J11" s="40" t="s">
        <v>426</v>
      </c>
      <c r="K11" s="40" t="s">
        <v>431</v>
      </c>
      <c r="L11" s="33">
        <v>1</v>
      </c>
      <c r="M11" s="59">
        <v>157.26602557077624</v>
      </c>
      <c r="N11" s="41" t="s">
        <v>283</v>
      </c>
      <c r="O11" s="3"/>
      <c r="P11" s="3" t="s">
        <v>302</v>
      </c>
      <c r="Q11" s="42" t="s">
        <v>427</v>
      </c>
      <c r="R11" s="30" t="s">
        <v>427</v>
      </c>
      <c r="S11" s="3"/>
      <c r="T11" s="33">
        <f>IF(TablaTrabajadores[[#This Row],[Tipo de Contrato]]="","",VLOOKUP(TablaTrabajadores[[#This Row],[Tipo de Contrato]],Cat!$G$1:$H$12,2,0))</f>
        <v>1</v>
      </c>
      <c r="U11" s="33">
        <f>IF(TablaTrabajadores[[#This Row],[Tipo de Régimen]]="","",VLOOKUP(TablaTrabajadores[[#This Row],[Tipo de Régimen]],Cat!$J$1:$K$13,2,0))</f>
        <v>2</v>
      </c>
      <c r="V11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1" s="32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0</v>
      </c>
      <c r="X11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1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P121W</v>
      </c>
      <c r="Z11" s="32">
        <f>COUNTIF(TablaPercepciones[[#All],[Trabajador]],TablaTrabajadores[[#This Row],[Nombre Trabajador]])</f>
        <v>4</v>
      </c>
      <c r="AA11" s="32">
        <f>COUNTIF(TablaDeducciones[[#All],[Trabajador]],TablaTrabajadores[[#This Row],[Nombre Trabajador]])</f>
        <v>0</v>
      </c>
      <c r="AB11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1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1" s="32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0</v>
      </c>
      <c r="AE11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1" s="32" t="str">
        <f>IF(TablaTrabajadores[[#This Row],[Origen del Recurso]]="","",VLOOKUP(TablaTrabajadores[[#This Row],[Origen del Recurso]],Cat!Y:Z,2,0))</f>
        <v>IP</v>
      </c>
      <c r="AG11" s="32" t="str">
        <f>IF(TablaTrabajadores[[#This Row],[Entidad Federativa]]="","",VLOOKUP(TablaTrabajadores[[#This Row],[Entidad Federativa]],Cat!AB:AC,2,0))</f>
        <v>CHP</v>
      </c>
      <c r="AH11" s="32">
        <f>COUNTIF(TablaHorasExtra[[#All],[Trabajador]],TablaTrabajadores[[#This Row],[Nombre Trabajador]])</f>
        <v>0</v>
      </c>
      <c r="AI11" s="32">
        <f>COUNTIF(TablaOtrosPagos[[#All],[Trabajador]],TablaTrabajadores[[#This Row],[Nombre Trabajador]])</f>
        <v>1</v>
      </c>
      <c r="AJ11" s="33">
        <f>IF(TablaTrabajadores[[#This Row],[Tipo de Jornada]]="","",VLOOKUP(TablaTrabajadores[[#This Row],[Tipo de Jornada]],Cat!AK:AL,2,0))</f>
        <v>1</v>
      </c>
      <c r="AK11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1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1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1" s="3" t="s">
        <v>388</v>
      </c>
    </row>
    <row r="12" spans="1:40" x14ac:dyDescent="0.25">
      <c r="A12" s="3">
        <v>11</v>
      </c>
      <c r="B12" s="30" t="s">
        <v>468</v>
      </c>
      <c r="C12" s="30" t="s">
        <v>407</v>
      </c>
      <c r="D12" s="30" t="s">
        <v>469</v>
      </c>
      <c r="E12" s="30">
        <v>71027100818</v>
      </c>
      <c r="F12" s="39">
        <v>37104</v>
      </c>
      <c r="G12" s="3" t="s">
        <v>71</v>
      </c>
      <c r="H12" s="3" t="s">
        <v>83</v>
      </c>
      <c r="I12" s="40">
        <v>61</v>
      </c>
      <c r="J12" s="40" t="s">
        <v>444</v>
      </c>
      <c r="K12" s="40" t="s">
        <v>445</v>
      </c>
      <c r="L12" s="33">
        <v>1</v>
      </c>
      <c r="M12" s="59">
        <v>167.06316420091323</v>
      </c>
      <c r="N12" s="41" t="s">
        <v>283</v>
      </c>
      <c r="O12" s="3"/>
      <c r="P12" s="3" t="s">
        <v>302</v>
      </c>
      <c r="Q12" s="42" t="s">
        <v>470</v>
      </c>
      <c r="R12" s="30" t="s">
        <v>427</v>
      </c>
      <c r="S12" s="3"/>
      <c r="T12" s="33">
        <f>IF(TablaTrabajadores[[#This Row],[Tipo de Contrato]]="","",VLOOKUP(TablaTrabajadores[[#This Row],[Tipo de Contrato]],Cat!$G$1:$H$12,2,0))</f>
        <v>1</v>
      </c>
      <c r="U12" s="33">
        <f>IF(TablaTrabajadores[[#This Row],[Tipo de Régimen]]="","",VLOOKUP(TablaTrabajadores[[#This Row],[Tipo de Régimen]],Cat!$J$1:$K$13,2,0))</f>
        <v>2</v>
      </c>
      <c r="V12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2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2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2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P1034W</v>
      </c>
      <c r="Z12" s="32">
        <f>COUNTIF(TablaPercepciones[[#All],[Trabajador]],TablaTrabajadores[[#This Row],[Nombre Trabajador]])</f>
        <v>4</v>
      </c>
      <c r="AA12" s="32">
        <f>COUNTIF(TablaDeducciones[[#All],[Trabajador]],TablaTrabajadores[[#This Row],[Nombre Trabajador]])</f>
        <v>1</v>
      </c>
      <c r="AB12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2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2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2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2" s="32" t="str">
        <f>IF(TablaTrabajadores[[#This Row],[Origen del Recurso]]="","",VLOOKUP(TablaTrabajadores[[#This Row],[Origen del Recurso]],Cat!Y:Z,2,0))</f>
        <v>IP</v>
      </c>
      <c r="AG12" s="32" t="str">
        <f>IF(TablaTrabajadores[[#This Row],[Entidad Federativa]]="","",VLOOKUP(TablaTrabajadores[[#This Row],[Entidad Federativa]],Cat!AB:AC,2,0))</f>
        <v>CHP</v>
      </c>
      <c r="AH12" s="32">
        <f>COUNTIF(TablaHorasExtra[[#All],[Trabajador]],TablaTrabajadores[[#This Row],[Nombre Trabajador]])</f>
        <v>0</v>
      </c>
      <c r="AI12" s="32">
        <f>COUNTIF(TablaOtrosPagos[[#All],[Trabajador]],TablaTrabajadores[[#This Row],[Nombre Trabajador]])</f>
        <v>1</v>
      </c>
      <c r="AJ12" s="33">
        <f>IF(TablaTrabajadores[[#This Row],[Tipo de Jornada]]="","",VLOOKUP(TablaTrabajadores[[#This Row],[Tipo de Jornada]],Cat!AK:AL,2,0))</f>
        <v>1</v>
      </c>
      <c r="AK12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2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2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2" s="3" t="s">
        <v>388</v>
      </c>
    </row>
    <row r="13" spans="1:40" x14ac:dyDescent="0.25">
      <c r="A13" s="3">
        <v>12</v>
      </c>
      <c r="B13" s="30" t="s">
        <v>504</v>
      </c>
      <c r="C13" s="30" t="s">
        <v>505</v>
      </c>
      <c r="D13" s="30" t="s">
        <v>506</v>
      </c>
      <c r="E13" s="30">
        <v>1199266030</v>
      </c>
      <c r="F13" s="31">
        <v>44256</v>
      </c>
      <c r="G13" s="3" t="s">
        <v>71</v>
      </c>
      <c r="H13" s="3" t="s">
        <v>83</v>
      </c>
      <c r="I13" s="32">
        <v>5203</v>
      </c>
      <c r="J13" s="3" t="s">
        <v>508</v>
      </c>
      <c r="K13" s="3" t="s">
        <v>509</v>
      </c>
      <c r="L13" s="33">
        <v>1</v>
      </c>
      <c r="M13" s="59">
        <v>230.94</v>
      </c>
      <c r="N13" s="3" t="s">
        <v>283</v>
      </c>
      <c r="O13" s="3"/>
      <c r="P13" s="3" t="s">
        <v>302</v>
      </c>
      <c r="Q13" s="43" t="s">
        <v>507</v>
      </c>
      <c r="R13" s="30" t="s">
        <v>427</v>
      </c>
      <c r="S13" s="3"/>
      <c r="T13" s="33">
        <f>IF(TablaTrabajadores[[#This Row],[Tipo de Contrato]]="","",VLOOKUP(TablaTrabajadores[[#This Row],[Tipo de Contrato]],Cat!$G$1:$H$12,2,0))</f>
        <v>1</v>
      </c>
      <c r="U13" s="33">
        <f>IF(TablaTrabajadores[[#This Row],[Tipo de Régimen]]="","",VLOOKUP(TablaTrabajadores[[#This Row],[Tipo de Régimen]],Cat!$J$1:$K$13,2,0))</f>
        <v>2</v>
      </c>
      <c r="V13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3" s="32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0</v>
      </c>
      <c r="X13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3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P13W</v>
      </c>
      <c r="Z13" s="32">
        <f>COUNTIF(TablaPercepciones[[#All],[Trabajador]],TablaTrabajadores[[#This Row],[Nombre Trabajador]])</f>
        <v>3</v>
      </c>
      <c r="AA13" s="32">
        <f>COUNTIF(TablaDeducciones[[#All],[Trabajador]],TablaTrabajadores[[#This Row],[Nombre Trabajador]])</f>
        <v>0</v>
      </c>
      <c r="AB13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3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3" s="32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0</v>
      </c>
      <c r="AE13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3" s="32" t="str">
        <f>IF(TablaTrabajadores[[#This Row],[Origen del Recurso]]="","",VLOOKUP(TablaTrabajadores[[#This Row],[Origen del Recurso]],Cat!Y:Z,2,0))</f>
        <v>IP</v>
      </c>
      <c r="AG13" s="32" t="str">
        <f>IF(TablaTrabajadores[[#This Row],[Entidad Federativa]]="","",VLOOKUP(TablaTrabajadores[[#This Row],[Entidad Federativa]],Cat!AB:AC,2,0))</f>
        <v>CHP</v>
      </c>
      <c r="AH13" s="32">
        <f>COUNTIF(TablaHorasExtra[[#All],[Trabajador]],TablaTrabajadores[[#This Row],[Nombre Trabajador]])</f>
        <v>0</v>
      </c>
      <c r="AI13" s="32">
        <f>COUNTIF(TablaOtrosPagos[[#All],[Trabajador]],TablaTrabajadores[[#This Row],[Nombre Trabajador]])</f>
        <v>1</v>
      </c>
      <c r="AJ13" s="33">
        <f>IF(TablaTrabajadores[[#This Row],[Tipo de Jornada]]="","",VLOOKUP(TablaTrabajadores[[#This Row],[Tipo de Jornada]],Cat!AK:AL,2,0))</f>
        <v>3</v>
      </c>
      <c r="AK13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3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3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3" s="3" t="s">
        <v>390</v>
      </c>
    </row>
    <row r="14" spans="1:40" x14ac:dyDescent="0.25">
      <c r="A14" s="3">
        <v>13</v>
      </c>
      <c r="B14" s="30" t="s">
        <v>471</v>
      </c>
      <c r="C14" s="30" t="s">
        <v>413</v>
      </c>
      <c r="D14" s="30" t="s">
        <v>472</v>
      </c>
      <c r="E14" s="30">
        <v>11169499420</v>
      </c>
      <c r="F14" s="39">
        <v>43116</v>
      </c>
      <c r="G14" s="3" t="s">
        <v>71</v>
      </c>
      <c r="H14" s="3" t="s">
        <v>83</v>
      </c>
      <c r="I14" s="40">
        <v>5046</v>
      </c>
      <c r="J14" s="40" t="s">
        <v>473</v>
      </c>
      <c r="K14" s="40" t="s">
        <v>431</v>
      </c>
      <c r="L14" s="33">
        <v>1</v>
      </c>
      <c r="M14" s="59">
        <v>157.26602557077624</v>
      </c>
      <c r="N14" s="41" t="s">
        <v>283</v>
      </c>
      <c r="O14" s="3"/>
      <c r="P14" s="3" t="s">
        <v>302</v>
      </c>
      <c r="Q14" s="42" t="s">
        <v>474</v>
      </c>
      <c r="R14" s="30" t="s">
        <v>427</v>
      </c>
      <c r="S14" s="3"/>
      <c r="T14" s="33">
        <f>IF(TablaTrabajadores[[#This Row],[Tipo de Contrato]]="","",VLOOKUP(TablaTrabajadores[[#This Row],[Tipo de Contrato]],Cat!$G$1:$H$12,2,0))</f>
        <v>1</v>
      </c>
      <c r="U14" s="33">
        <f>IF(TablaTrabajadores[[#This Row],[Tipo de Régimen]]="","",VLOOKUP(TablaTrabajadores[[#This Row],[Tipo de Régimen]],Cat!$J$1:$K$13,2,0))</f>
        <v>2</v>
      </c>
      <c r="V14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4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4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4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P175W</v>
      </c>
      <c r="Z14" s="32">
        <f>COUNTIF(TablaPercepciones[[#All],[Trabajador]],TablaTrabajadores[[#This Row],[Nombre Trabajador]])</f>
        <v>4</v>
      </c>
      <c r="AA14" s="32">
        <f>COUNTIF(TablaDeducciones[[#All],[Trabajador]],TablaTrabajadores[[#This Row],[Nombre Trabajador]])</f>
        <v>1</v>
      </c>
      <c r="AB14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4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4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4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4" s="32" t="str">
        <f>IF(TablaTrabajadores[[#This Row],[Origen del Recurso]]="","",VLOOKUP(TablaTrabajadores[[#This Row],[Origen del Recurso]],Cat!Y:Z,2,0))</f>
        <v>IP</v>
      </c>
      <c r="AG14" s="32" t="str">
        <f>IF(TablaTrabajadores[[#This Row],[Entidad Federativa]]="","",VLOOKUP(TablaTrabajadores[[#This Row],[Entidad Federativa]],Cat!AB:AC,2,0))</f>
        <v>CHP</v>
      </c>
      <c r="AH14" s="32">
        <f>COUNTIF(TablaHorasExtra[[#All],[Trabajador]],TablaTrabajadores[[#This Row],[Nombre Trabajador]])</f>
        <v>0</v>
      </c>
      <c r="AI14" s="32">
        <f>COUNTIF(TablaOtrosPagos[[#All],[Trabajador]],TablaTrabajadores[[#This Row],[Nombre Trabajador]])</f>
        <v>1</v>
      </c>
      <c r="AJ14" s="33">
        <f>IF(TablaTrabajadores[[#This Row],[Tipo de Jornada]]="","",VLOOKUP(TablaTrabajadores[[#This Row],[Tipo de Jornada]],Cat!AK:AL,2,0))</f>
        <v>3</v>
      </c>
      <c r="AK14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4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4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4" s="3" t="s">
        <v>390</v>
      </c>
    </row>
    <row r="15" spans="1:40" x14ac:dyDescent="0.25">
      <c r="A15" s="3">
        <v>14</v>
      </c>
      <c r="B15" s="30" t="s">
        <v>475</v>
      </c>
      <c r="C15" s="30" t="s">
        <v>410</v>
      </c>
      <c r="D15" s="30" t="s">
        <v>476</v>
      </c>
      <c r="E15" s="30">
        <v>65099022207</v>
      </c>
      <c r="F15" s="39">
        <v>42751</v>
      </c>
      <c r="G15" s="3" t="s">
        <v>71</v>
      </c>
      <c r="H15" s="3" t="s">
        <v>83</v>
      </c>
      <c r="I15" s="40">
        <v>953</v>
      </c>
      <c r="J15" s="40" t="s">
        <v>477</v>
      </c>
      <c r="K15" s="40" t="s">
        <v>431</v>
      </c>
      <c r="L15" s="33">
        <v>1</v>
      </c>
      <c r="M15" s="59">
        <v>157.26602557077624</v>
      </c>
      <c r="N15" s="41" t="s">
        <v>283</v>
      </c>
      <c r="O15" s="3"/>
      <c r="P15" s="3" t="s">
        <v>302</v>
      </c>
      <c r="Q15" s="42" t="s">
        <v>478</v>
      </c>
      <c r="R15" s="30" t="s">
        <v>427</v>
      </c>
      <c r="S15" s="3"/>
      <c r="T15" s="33">
        <f>IF(TablaTrabajadores[[#This Row],[Tipo de Contrato]]="","",VLOOKUP(TablaTrabajadores[[#This Row],[Tipo de Contrato]],Cat!$G$1:$H$12,2,0))</f>
        <v>1</v>
      </c>
      <c r="U15" s="33">
        <f>IF(TablaTrabajadores[[#This Row],[Tipo de Régimen]]="","",VLOOKUP(TablaTrabajadores[[#This Row],[Tipo de Régimen]],Cat!$J$1:$K$13,2,0))</f>
        <v>2</v>
      </c>
      <c r="V15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5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5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5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P228W</v>
      </c>
      <c r="Z15" s="32">
        <f>COUNTIF(TablaPercepciones[[#All],[Trabajador]],TablaTrabajadores[[#This Row],[Nombre Trabajador]])</f>
        <v>4</v>
      </c>
      <c r="AA15" s="32">
        <f>COUNTIF(TablaDeducciones[[#All],[Trabajador]],TablaTrabajadores[[#This Row],[Nombre Trabajador]])</f>
        <v>2</v>
      </c>
      <c r="AB15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5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5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5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5" s="32" t="str">
        <f>IF(TablaTrabajadores[[#This Row],[Origen del Recurso]]="","",VLOOKUP(TablaTrabajadores[[#This Row],[Origen del Recurso]],Cat!Y:Z,2,0))</f>
        <v>IP</v>
      </c>
      <c r="AG15" s="32" t="str">
        <f>IF(TablaTrabajadores[[#This Row],[Entidad Federativa]]="","",VLOOKUP(TablaTrabajadores[[#This Row],[Entidad Federativa]],Cat!AB:AC,2,0))</f>
        <v>CHP</v>
      </c>
      <c r="AH15" s="32">
        <f>COUNTIF(TablaHorasExtra[[#All],[Trabajador]],TablaTrabajadores[[#This Row],[Nombre Trabajador]])</f>
        <v>0</v>
      </c>
      <c r="AI15" s="32">
        <f>COUNTIF(TablaOtrosPagos[[#All],[Trabajador]],TablaTrabajadores[[#This Row],[Nombre Trabajador]])</f>
        <v>1</v>
      </c>
      <c r="AJ15" s="33">
        <f>IF(TablaTrabajadores[[#This Row],[Tipo de Jornada]]="","",VLOOKUP(TablaTrabajadores[[#This Row],[Tipo de Jornada]],Cat!AK:AL,2,0))</f>
        <v>3</v>
      </c>
      <c r="AK15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5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5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5" s="3" t="s">
        <v>390</v>
      </c>
    </row>
    <row r="16" spans="1:40" x14ac:dyDescent="0.25">
      <c r="A16" s="3">
        <v>15</v>
      </c>
      <c r="B16" s="30" t="s">
        <v>479</v>
      </c>
      <c r="C16" s="30" t="s">
        <v>415</v>
      </c>
      <c r="D16" s="30" t="s">
        <v>480</v>
      </c>
      <c r="E16" s="30">
        <v>82078708615</v>
      </c>
      <c r="F16" s="39">
        <v>43497</v>
      </c>
      <c r="G16" s="3" t="s">
        <v>71</v>
      </c>
      <c r="H16" s="3" t="s">
        <v>83</v>
      </c>
      <c r="I16" s="40">
        <v>5139</v>
      </c>
      <c r="J16" s="40" t="s">
        <v>434</v>
      </c>
      <c r="K16" s="40" t="s">
        <v>431</v>
      </c>
      <c r="L16" s="33">
        <v>1</v>
      </c>
      <c r="M16" s="59">
        <v>157.26602557077624</v>
      </c>
      <c r="N16" s="41" t="s">
        <v>283</v>
      </c>
      <c r="O16" s="3"/>
      <c r="P16" s="3" t="s">
        <v>302</v>
      </c>
      <c r="Q16" s="42" t="s">
        <v>481</v>
      </c>
      <c r="R16" s="30" t="s">
        <v>427</v>
      </c>
      <c r="S16" s="3"/>
      <c r="T16" s="33">
        <f>IF(TablaTrabajadores[[#This Row],[Tipo de Contrato]]="","",VLOOKUP(TablaTrabajadores[[#This Row],[Tipo de Contrato]],Cat!$G$1:$H$12,2,0))</f>
        <v>1</v>
      </c>
      <c r="U16" s="33">
        <f>IF(TablaTrabajadores[[#This Row],[Tipo de Régimen]]="","",VLOOKUP(TablaTrabajadores[[#This Row],[Tipo de Régimen]],Cat!$J$1:$K$13,2,0))</f>
        <v>2</v>
      </c>
      <c r="V16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6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6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6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P121W</v>
      </c>
      <c r="Z16" s="32">
        <f>COUNTIF(TablaPercepciones[[#All],[Trabajador]],TablaTrabajadores[[#This Row],[Nombre Trabajador]])</f>
        <v>4</v>
      </c>
      <c r="AA16" s="32">
        <f>COUNTIF(TablaDeducciones[[#All],[Trabajador]],TablaTrabajadores[[#This Row],[Nombre Trabajador]])</f>
        <v>1</v>
      </c>
      <c r="AB16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6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6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6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6" s="32" t="str">
        <f>IF(TablaTrabajadores[[#This Row],[Origen del Recurso]]="","",VLOOKUP(TablaTrabajadores[[#This Row],[Origen del Recurso]],Cat!Y:Z,2,0))</f>
        <v>IP</v>
      </c>
      <c r="AG16" s="32" t="str">
        <f>IF(TablaTrabajadores[[#This Row],[Entidad Federativa]]="","",VLOOKUP(TablaTrabajadores[[#This Row],[Entidad Federativa]],Cat!AB:AC,2,0))</f>
        <v>CHP</v>
      </c>
      <c r="AH16" s="32">
        <f>COUNTIF(TablaHorasExtra[[#All],[Trabajador]],TablaTrabajadores[[#This Row],[Nombre Trabajador]])</f>
        <v>0</v>
      </c>
      <c r="AI16" s="32">
        <f>COUNTIF(TablaOtrosPagos[[#All],[Trabajador]],TablaTrabajadores[[#This Row],[Nombre Trabajador]])</f>
        <v>1</v>
      </c>
      <c r="AJ16" s="33">
        <f>IF(TablaTrabajadores[[#This Row],[Tipo de Jornada]]="","",VLOOKUP(TablaTrabajadores[[#This Row],[Tipo de Jornada]],Cat!AK:AL,2,0))</f>
        <v>1</v>
      </c>
      <c r="AK16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6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6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6" s="3" t="s">
        <v>388</v>
      </c>
    </row>
    <row r="17" spans="1:40" x14ac:dyDescent="0.25">
      <c r="A17" s="3">
        <v>16</v>
      </c>
      <c r="B17" s="30" t="s">
        <v>483</v>
      </c>
      <c r="C17" s="30" t="s">
        <v>417</v>
      </c>
      <c r="D17" s="30" t="s">
        <v>484</v>
      </c>
      <c r="E17" s="30">
        <v>2198525251</v>
      </c>
      <c r="F17" s="39">
        <v>43497</v>
      </c>
      <c r="G17" s="3" t="s">
        <v>71</v>
      </c>
      <c r="H17" s="3" t="s">
        <v>83</v>
      </c>
      <c r="I17" s="40">
        <v>5145</v>
      </c>
      <c r="J17" s="40" t="s">
        <v>433</v>
      </c>
      <c r="K17" s="40" t="s">
        <v>485</v>
      </c>
      <c r="L17" s="33">
        <v>1</v>
      </c>
      <c r="M17" s="59">
        <v>240.01100273972605</v>
      </c>
      <c r="N17" s="41" t="s">
        <v>283</v>
      </c>
      <c r="O17" s="3"/>
      <c r="P17" s="3" t="s">
        <v>302</v>
      </c>
      <c r="Q17" s="42" t="s">
        <v>486</v>
      </c>
      <c r="R17" s="30" t="s">
        <v>427</v>
      </c>
      <c r="S17" s="3"/>
      <c r="T17" s="33">
        <f>IF(TablaTrabajadores[[#This Row],[Tipo de Contrato]]="","",VLOOKUP(TablaTrabajadores[[#This Row],[Tipo de Contrato]],Cat!$G$1:$H$12,2,0))</f>
        <v>1</v>
      </c>
      <c r="U17" s="33">
        <f>IF(TablaTrabajadores[[#This Row],[Tipo de Régimen]]="","",VLOOKUP(TablaTrabajadores[[#This Row],[Tipo de Régimen]],Cat!$J$1:$K$13,2,0))</f>
        <v>2</v>
      </c>
      <c r="V17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7" s="32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0</v>
      </c>
      <c r="X17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7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P121W</v>
      </c>
      <c r="Z17" s="32">
        <f>COUNTIF(TablaPercepciones[[#All],[Trabajador]],TablaTrabajadores[[#This Row],[Nombre Trabajador]])</f>
        <v>4</v>
      </c>
      <c r="AA17" s="32">
        <f>COUNTIF(TablaDeducciones[[#All],[Trabajador]],TablaTrabajadores[[#This Row],[Nombre Trabajador]])</f>
        <v>0</v>
      </c>
      <c r="AB17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7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7" s="32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0</v>
      </c>
      <c r="AE17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7" s="32" t="str">
        <f>IF(TablaTrabajadores[[#This Row],[Origen del Recurso]]="","",VLOOKUP(TablaTrabajadores[[#This Row],[Origen del Recurso]],Cat!Y:Z,2,0))</f>
        <v>IP</v>
      </c>
      <c r="AG17" s="32" t="str">
        <f>IF(TablaTrabajadores[[#This Row],[Entidad Federativa]]="","",VLOOKUP(TablaTrabajadores[[#This Row],[Entidad Federativa]],Cat!AB:AC,2,0))</f>
        <v>CHP</v>
      </c>
      <c r="AH17" s="32">
        <f>COUNTIF(TablaHorasExtra[[#All],[Trabajador]],TablaTrabajadores[[#This Row],[Nombre Trabajador]])</f>
        <v>0</v>
      </c>
      <c r="AI17" s="32">
        <f>COUNTIF(TablaOtrosPagos[[#All],[Trabajador]],TablaTrabajadores[[#This Row],[Nombre Trabajador]])</f>
        <v>1</v>
      </c>
      <c r="AJ17" s="33">
        <f>IF(TablaTrabajadores[[#This Row],[Tipo de Jornada]]="","",VLOOKUP(TablaTrabajadores[[#This Row],[Tipo de Jornada]],Cat!AK:AL,2,0))</f>
        <v>1</v>
      </c>
      <c r="AK17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7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7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7" s="3" t="s">
        <v>388</v>
      </c>
    </row>
    <row r="18" spans="1:40" x14ac:dyDescent="0.25">
      <c r="A18" s="3">
        <v>17</v>
      </c>
      <c r="B18" s="30" t="s">
        <v>487</v>
      </c>
      <c r="C18" s="30" t="s">
        <v>422</v>
      </c>
      <c r="D18" s="30" t="s">
        <v>488</v>
      </c>
      <c r="E18" s="30">
        <v>8159374845</v>
      </c>
      <c r="F18" s="39">
        <v>43497</v>
      </c>
      <c r="G18" s="3" t="s">
        <v>71</v>
      </c>
      <c r="H18" s="3" t="s">
        <v>83</v>
      </c>
      <c r="I18" s="40">
        <v>20177</v>
      </c>
      <c r="J18" s="40" t="s">
        <v>482</v>
      </c>
      <c r="K18" s="40" t="s">
        <v>431</v>
      </c>
      <c r="L18" s="33">
        <v>1</v>
      </c>
      <c r="M18" s="59">
        <v>157.26602557077624</v>
      </c>
      <c r="N18" s="41" t="s">
        <v>283</v>
      </c>
      <c r="O18" s="3"/>
      <c r="P18" s="3" t="s">
        <v>302</v>
      </c>
      <c r="Q18" s="42" t="s">
        <v>489</v>
      </c>
      <c r="R18" s="30" t="s">
        <v>427</v>
      </c>
      <c r="S18" s="3"/>
      <c r="T18" s="33">
        <f>IF(TablaTrabajadores[[#This Row],[Tipo de Contrato]]="","",VLOOKUP(TablaTrabajadores[[#This Row],[Tipo de Contrato]],Cat!$G$1:$H$12,2,0))</f>
        <v>1</v>
      </c>
      <c r="U18" s="33">
        <f>IF(TablaTrabajadores[[#This Row],[Tipo de Régimen]]="","",VLOOKUP(TablaTrabajadores[[#This Row],[Tipo de Régimen]],Cat!$J$1:$K$13,2,0))</f>
        <v>2</v>
      </c>
      <c r="V18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8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8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8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P121W</v>
      </c>
      <c r="Z18" s="32">
        <f>COUNTIF(TablaPercepciones[[#All],[Trabajador]],TablaTrabajadores[[#This Row],[Nombre Trabajador]])</f>
        <v>4</v>
      </c>
      <c r="AA18" s="32">
        <f>COUNTIF(TablaDeducciones[[#All],[Trabajador]],TablaTrabajadores[[#This Row],[Nombre Trabajador]])</f>
        <v>1</v>
      </c>
      <c r="AB18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8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8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8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8" s="32" t="str">
        <f>IF(TablaTrabajadores[[#This Row],[Origen del Recurso]]="","",VLOOKUP(TablaTrabajadores[[#This Row],[Origen del Recurso]],Cat!Y:Z,2,0))</f>
        <v>IP</v>
      </c>
      <c r="AG18" s="32" t="str">
        <f>IF(TablaTrabajadores[[#This Row],[Entidad Federativa]]="","",VLOOKUP(TablaTrabajadores[[#This Row],[Entidad Federativa]],Cat!AB:AC,2,0))</f>
        <v>CHP</v>
      </c>
      <c r="AH18" s="32">
        <f>COUNTIF(TablaHorasExtra[[#All],[Trabajador]],TablaTrabajadores[[#This Row],[Nombre Trabajador]])</f>
        <v>0</v>
      </c>
      <c r="AI18" s="32">
        <f>COUNTIF(TablaOtrosPagos[[#All],[Trabajador]],TablaTrabajadores[[#This Row],[Nombre Trabajador]])</f>
        <v>1</v>
      </c>
      <c r="AJ18" s="33">
        <f>IF(TablaTrabajadores[[#This Row],[Tipo de Jornada]]="","",VLOOKUP(TablaTrabajadores[[#This Row],[Tipo de Jornada]],Cat!AK:AL,2,0))</f>
        <v>1</v>
      </c>
      <c r="AK18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8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8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8" s="3" t="s">
        <v>388</v>
      </c>
    </row>
    <row r="19" spans="1:40" x14ac:dyDescent="0.25">
      <c r="A19" s="3">
        <v>18</v>
      </c>
      <c r="B19" s="30" t="s">
        <v>490</v>
      </c>
      <c r="C19" s="30" t="s">
        <v>419</v>
      </c>
      <c r="D19" s="30" t="s">
        <v>491</v>
      </c>
      <c r="E19" s="30">
        <v>12038221292</v>
      </c>
      <c r="F19" s="39">
        <v>42491</v>
      </c>
      <c r="G19" s="3" t="s">
        <v>71</v>
      </c>
      <c r="H19" s="3" t="s">
        <v>83</v>
      </c>
      <c r="I19" s="40">
        <v>5174</v>
      </c>
      <c r="J19" s="40" t="s">
        <v>452</v>
      </c>
      <c r="K19" s="40" t="s">
        <v>492</v>
      </c>
      <c r="L19" s="33">
        <v>1</v>
      </c>
      <c r="M19" s="59">
        <v>225.40195342465753</v>
      </c>
      <c r="N19" s="41" t="s">
        <v>283</v>
      </c>
      <c r="O19" s="3"/>
      <c r="P19" s="3" t="s">
        <v>302</v>
      </c>
      <c r="Q19" s="42" t="s">
        <v>493</v>
      </c>
      <c r="R19" s="30" t="s">
        <v>427</v>
      </c>
      <c r="S19" s="3"/>
      <c r="T19" s="33">
        <f>IF(TablaTrabajadores[[#This Row],[Tipo de Contrato]]="","",VLOOKUP(TablaTrabajadores[[#This Row],[Tipo de Contrato]],Cat!$G$1:$H$12,2,0))</f>
        <v>1</v>
      </c>
      <c r="U19" s="33">
        <f>IF(TablaTrabajadores[[#This Row],[Tipo de Régimen]]="","",VLOOKUP(TablaTrabajadores[[#This Row],[Tipo de Régimen]],Cat!$J$1:$K$13,2,0))</f>
        <v>2</v>
      </c>
      <c r="V19" s="32" t="e">
        <f>ROUND(IF((SUMIF(TablaPercepciones[[#All],[Trabajador]],TablaTrabajadores[[#This Row],[Nombre Trabajador]],TablaPercepciones[[#All],[Importe Gravado]])+SUMIF(TablaPercepciones[[#All],[Trabajador]],TablaTrabajadores[[#This Row],[Nombre Trabajador]],TablaPercepciones[[#All],[o]]))=0,0,SUMIF(TablaPercepciones[[#All],[Trabajador]],TablaTrabajadores[[#This Row],[Nombre Trabajador]],TablaPercepciones[[#All],[Importe Gravado]])+SUMIF(TablaPercepciones[[#All],[Trabajador]],TablaTrabajadores[[#This Row],[Nombre Trabajador]],TablaPercepciones[[#All],[o]])),2)</f>
        <v>#REF!</v>
      </c>
      <c r="W19" s="32" t="e">
        <f>ROUND(IF((SUMIF(TablaDeducciones[[#All],[Trabajador]],TablaTrabajadores[[#This Row],[Nombre Trabajador]],TablaDeducciones[[#All],[Importe]]))=0,0,SUMIF(TablaDeducciones[[#All],[Trabajador]],TablaTrabajadores[[#This Row],[Nombre Trabajador]],TablaDeducciones[[#All],[Importe]])),2)</f>
        <v>#REF!</v>
      </c>
      <c r="X19" s="32" t="e">
        <f>ROUND(IF((SUMIF(TablaOtrosPagos[[#All],[Trabajador]],TablaTrabajadores[[#This Row],[Nombre Trabajador]],TablaOtrosPagos[[#All],[Importe]]))=0,0,SUMIF(TablaOtrosPagos[[#All],[Trabajador]],TablaTrabajadores[[#This Row],[Nombre Trabajador]],TablaOtrosPagos[[#All],[Importe]])),2)</f>
        <v>#REF!</v>
      </c>
      <c r="Y19" s="3" t="str">
        <f>IF(OR(TablaOrganismo[Fecha Final de pago]="",TablaTrabajadores[[#This Row],[Fecha Inicio Relación Laboral]]=""),"",CONCATENATE("P",ROUNDDOWN((TablaOrganismo[Fecha Final de pago]-TablaTrabajadores[[#This Row],[Fecha Inicio Relación Laboral]])/7,0),"W"))</f>
        <v>P265W</v>
      </c>
      <c r="Z19" s="32">
        <f>COUNTIF(TablaPercepciones[[#All],[Trabajador]],TablaTrabajadores[[#This Row],[Nombre Trabajador]])</f>
        <v>4</v>
      </c>
      <c r="AA19" s="32">
        <f>COUNTIF(TablaDeducciones[[#All],[Trabajador]],TablaTrabajadores[[#This Row],[Nombre Trabajador]])</f>
        <v>1</v>
      </c>
      <c r="AB19" s="32" t="e">
        <f>ROUND(IF((SUMIF(TablaPercepciones[[#All],[Trabajador]],TablaTrabajadores[[#This Row],[Nombre Trabajador]],TablaPercepciones[[#All],[Importe Gravado]]))=0,0,SUMIF(TablaPercepciones[[#All],[Trabajador]],TablaTrabajadores[[#This Row],[Nombre Trabajador]],TablaPercepciones[[#All],[Importe Gravado]])),2)</f>
        <v>#REF!</v>
      </c>
      <c r="AC19" s="32" t="e">
        <f>ROUND(IF((SUMIF(TablaPercepciones[[#All],[Trabajador]],TablaTrabajadores[[#This Row],[Nombre Trabajador]],TablaPercepciones[[#All],[o]]))=0,0,SUMIF(TablaPercepciones[[#All],[Trabajador]],TablaTrabajadores[[#This Row],[Nombre Trabajador]],TablaPercepciones[[#All],[o]])),2)</f>
        <v>#REF!</v>
      </c>
      <c r="AD19" s="32" t="e">
        <f>ROUND(IF(SUMIFS(TablaDeducciones[[#All],[Importe]],TablaDeducciones[[#All],[Trabajador]],TablaTrabajadores[[#This Row],[Nombre Trabajador]],TablaDeducciones[[#All],[Clave Deducción]],"&lt;&gt;002")=0,0,SUMIFS(TablaDeducciones[[#All],[Importe]],TablaDeducciones[[#All],[Trabajador]],TablaTrabajadores[[#This Row],[Nombre Trabajador]],TablaDeducciones[[#All],[Clave Deducción]],"&lt;&gt;002")),2)</f>
        <v>#REF!</v>
      </c>
      <c r="AE19" s="32">
        <f>ROUND(IF((SUMIFS(TablaDeducciones[[#All],[Importe]],TablaDeducciones[[#All],[Trabajador]],TablaTrabajadores[[#This Row],[Nombre Trabajador]],TablaDeducciones[[#All],[Clave Deducción]],"=002"))=0,0,SUMIFS(TablaDeducciones[[#All],[Importe]],TablaDeducciones[[#All],[Trabajador]],TablaTrabajadores[[#This Row],[Nombre Trabajador]],TablaDeducciones[[#All],[Clave Deducción]],"=002")),2)</f>
        <v>0</v>
      </c>
      <c r="AF19" s="32" t="str">
        <f>IF(TablaTrabajadores[[#This Row],[Origen del Recurso]]="","",VLOOKUP(TablaTrabajadores[[#This Row],[Origen del Recurso]],Cat!Y:Z,2,0))</f>
        <v>IP</v>
      </c>
      <c r="AG19" s="32" t="str">
        <f>IF(TablaTrabajadores[[#This Row],[Entidad Federativa]]="","",VLOOKUP(TablaTrabajadores[[#This Row],[Entidad Federativa]],Cat!AB:AC,2,0))</f>
        <v>CHP</v>
      </c>
      <c r="AH19" s="32">
        <f>COUNTIF(TablaHorasExtra[[#All],[Trabajador]],TablaTrabajadores[[#This Row],[Nombre Trabajador]])</f>
        <v>0</v>
      </c>
      <c r="AI19" s="32">
        <f>COUNTIF(TablaOtrosPagos[[#All],[Trabajador]],TablaTrabajadores[[#This Row],[Nombre Trabajador]])</f>
        <v>1</v>
      </c>
      <c r="AJ19" s="33">
        <f>IF(TablaTrabajadores[[#This Row],[Tipo de Jornada]]="","",VLOOKUP(TablaTrabajadores[[#This Row],[Tipo de Jornada]],Cat!AK:AL,2,0))</f>
        <v>1</v>
      </c>
      <c r="AK19" s="32">
        <f>ROUND(IFERROR(SUMIFS(TablaPercepciones[[#All],[Importe Gravado]],TablaPercepciones[[#All],[Trabajador]],TablaTrabajadores[[#This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Percepción]],"&lt;&gt;044"),0)+IFERROR(SUMIFS(TablaPercepciones[[#All],[o]],TablaPercepciones[[#All],[Trabajador]],TablaTrabajadores[[#This Row],[Nombre Trabajador]],TablaPercepciones[[#All],[Clave Percepción]],"&lt;&gt;022",TablaPercepciones[[#All],[Clave Percepción]],"&lt;&gt;023",TablaPercepciones[[#All],[Clave Percepción]],"&lt;&gt;025",TablaPercepciones[[#All],[Clave Percepción]],"&lt;&gt;044"),0),2)</f>
        <v>0</v>
      </c>
      <c r="AL19" s="32">
        <f>ROUND(IFERROR(SUMIFS(TablaPercepciones[[#All],[Importe Gravado]],TablaPercepciones[[#All],[Trabajador]],TablaTrabajadores[[#This Row],[Nombre Trabajador]],TablaPercepciones[[#All],[Clave Percepción]],"=022"),0)+IFERROR(SUMIFS(TablaPercepciones[[#All],[Importe Gravado]],TablaPercepciones[[#All],[Trabajador]],TablaTrabajadores[[#This Row],[Nombre Trabajador]],TablaPercepciones[[#All],[Clave Percepción]],"=023"),0)+IFERROR(SUMIFS(TablaPercepciones[[#All],[Importe Gravado]],TablaPercepciones[[#All],[Trabajador]],TablaTrabajadores[[#This Row],[Nombre Trabajador]],TablaPercepciones[[#All],[Clave Percepción]],"=025"),0)+IFERROR(SUMIFS(TablaPercepciones[[#All],[o]],TablaPercepciones[[#All],[Trabajador]],TablaTrabajadores[[#This Row],[Nombre Trabajador]],TablaPercepciones[[#All],[Clave Percepción]],"=022"),0)+IFERROR(SUMIFS(TablaPercepciones[[#All],[o]],TablaPercepciones[[#All],[Trabajador]],TablaTrabajadores[[#This Row],[Nombre Trabajador]],TablaPercepciones[[#All],[Clave Percepción]],"=023"),0)+IFERROR(SUMIFS(TablaPercepciones[[#All],[o]],TablaPercepciones[[#All],[Trabajador]],TablaTrabajadores[[#This Row],[Nombre Trabajador]],TablaPercepciones[[#All],[Clave Percepción]],"=025"),0),2)</f>
        <v>0</v>
      </c>
      <c r="AM19" s="32">
        <f>ROUND(IFERROR(SUMIFS(TablaPercepciones[[#All],[Importe Gravado]],TablaPercepciones[[#All],[Trabajador]],TablaTrabajadores[[#This Row],[Nombre Trabajador]],TablaPercepciones[[#All],[Clave Percepción]],"=039"),0)+IFERROR(SUMIFS(TablaPercepciones[[#All],[Importe Gravado]],TablaPercepciones[[#All],[Trabajador]],TablaTrabajadores[[#This Row],[Nombre Trabajador]],TablaPercepciones[[#All],[Clave Percepción]],"=044"),0)+IFERROR(SUMIFS(TablaPercepciones[[#All],[o]],TablaPercepciones[[#All],[Trabajador]],TablaTrabajadores[[#This Row],[Nombre Trabajador]],TablaPercepciones[[#All],[Clave Percepción]],"=039"),0)+IFERROR(SUMIFS(TablaPercepciones[[#All],[o]],TablaPercepciones[[#All],[Trabajador]],TablaTrabajadores[[#This Row],[Nombre Trabajador]],TablaPercepciones[[#All],[Clave Percepción]],"=044"),0),2)</f>
        <v>0</v>
      </c>
      <c r="AN19" s="3" t="s">
        <v>388</v>
      </c>
    </row>
  </sheetData>
  <hyperlinks>
    <hyperlink ref="Q5" r:id="rId1" display="kcvideo@gmail.com" xr:uid="{00000000-0004-0000-0100-000000000000}"/>
    <hyperlink ref="Q6" r:id="rId2" display="ruthvalculebro@icloud.com" xr:uid="{00000000-0004-0000-0100-000001000000}"/>
    <hyperlink ref="Q13" r:id="rId3" xr:uid="{00000000-0004-0000-0100-000002000000}"/>
  </hyperlinks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'\\dell02\UAA\TIMBRADO NOMINA\2020\12_Timbrado Diciembre 2020\Mes completo\CONFIANZA\[NNS CANAL 10 CONFIANZA MES COMPLETO DICIEMBRE.xlsm]Cat'!#REF!</xm:f>
          </x14:formula1>
          <xm:sqref>P2:P19</xm:sqref>
        </x14:dataValidation>
        <x14:dataValidation type="list" allowBlank="1" showInputMessage="1" showErrorMessage="1" xr:uid="{00000000-0002-0000-0100-000001000000}">
          <x14:formula1>
            <xm:f>'\\dell02\UAA\TIMBRADO NOMINA\2020\12_Timbrado Diciembre 2020\Mes completo\CONFIANZA\[NNS CANAL 10 CONFIANZA MES COMPLETO DICIEMBRE.xlsm]Cat'!#REF!</xm:f>
          </x14:formula1>
          <xm:sqref>G2:H19 N2:N19 AN2:AN19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364"/>
  <sheetViews>
    <sheetView zoomScale="112" zoomScaleNormal="112" workbookViewId="0">
      <selection activeCell="E4" sqref="E4"/>
    </sheetView>
  </sheetViews>
  <sheetFormatPr baseColWidth="10" defaultRowHeight="15" x14ac:dyDescent="0.25"/>
  <cols>
    <col min="1" max="1" width="29.5703125" bestFit="1" customWidth="1"/>
    <col min="2" max="2" width="28.28515625" customWidth="1"/>
    <col min="3" max="3" width="8.140625" style="19" bestFit="1" customWidth="1"/>
    <col min="4" max="4" width="24.5703125" customWidth="1"/>
    <col min="5" max="5" width="18.42578125" bestFit="1" customWidth="1"/>
    <col min="6" max="6" width="14.7109375" bestFit="1" customWidth="1"/>
    <col min="7" max="7" width="16.28515625" customWidth="1"/>
    <col min="8" max="8" width="17" customWidth="1"/>
    <col min="9" max="9" width="18.5703125" bestFit="1" customWidth="1"/>
  </cols>
  <sheetData>
    <row r="1" spans="1:7" x14ac:dyDescent="0.25">
      <c r="A1" s="26" t="s">
        <v>6</v>
      </c>
      <c r="B1" s="26" t="s">
        <v>28</v>
      </c>
      <c r="C1" s="28" t="s">
        <v>29</v>
      </c>
      <c r="D1" s="26" t="s">
        <v>30</v>
      </c>
      <c r="E1" s="26" t="s">
        <v>31</v>
      </c>
      <c r="F1" s="26" t="s">
        <v>511</v>
      </c>
      <c r="G1" s="4" t="s">
        <v>27</v>
      </c>
    </row>
    <row r="2" spans="1:7" x14ac:dyDescent="0.25">
      <c r="A2" s="30" t="s">
        <v>421</v>
      </c>
      <c r="B2" s="29" t="s">
        <v>97</v>
      </c>
      <c r="C2" s="44">
        <v>1</v>
      </c>
      <c r="D2" s="3" t="s">
        <v>494</v>
      </c>
      <c r="E2" s="24" t="e">
        <f>SUMIFS(#REF!,#REF!,TablaPercepciones[[#This Row],[Trabajador]])</f>
        <v>#REF!</v>
      </c>
      <c r="F2" s="24">
        <v>0</v>
      </c>
      <c r="G2" s="10">
        <f>IF(TablaPercepciones[[#This Row],[Percepción]]="","",VLOOKUP(TablaPercepciones[[#This Row],[Percepción]],Cat!$M$2:$N$42,2,0))</f>
        <v>1</v>
      </c>
    </row>
    <row r="3" spans="1:7" x14ac:dyDescent="0.25">
      <c r="A3" s="30" t="s">
        <v>420</v>
      </c>
      <c r="B3" s="29" t="s">
        <v>97</v>
      </c>
      <c r="C3" s="44">
        <v>1</v>
      </c>
      <c r="D3" s="3" t="s">
        <v>494</v>
      </c>
      <c r="E3" s="24" t="e">
        <f>SUMIFS(#REF!,#REF!,TablaPercepciones[[#This Row],[Trabajador]])</f>
        <v>#REF!</v>
      </c>
      <c r="F3" s="24">
        <v>0</v>
      </c>
      <c r="G3" s="10">
        <f>IF(TablaPercepciones[[#This Row],[Percepción]]="","",VLOOKUP(TablaPercepciones[[#This Row],[Percepción]],Cat!$M$2:$N$42,2,0))</f>
        <v>1</v>
      </c>
    </row>
    <row r="4" spans="1:7" x14ac:dyDescent="0.25">
      <c r="A4" s="30" t="s">
        <v>408</v>
      </c>
      <c r="B4" s="29" t="s">
        <v>97</v>
      </c>
      <c r="C4" s="44">
        <v>1</v>
      </c>
      <c r="D4" s="3" t="s">
        <v>494</v>
      </c>
      <c r="E4" s="24" t="e">
        <f>SUMIFS(#REF!,#REF!,TablaPercepciones[[#This Row],[Trabajador]])</f>
        <v>#REF!</v>
      </c>
      <c r="F4" s="24">
        <v>0</v>
      </c>
      <c r="G4" s="10">
        <f>IF(TablaPercepciones[[#This Row],[Percepción]]="","",VLOOKUP(TablaPercepciones[[#This Row],[Percepción]],Cat!$M$2:$N$42,2,0))</f>
        <v>1</v>
      </c>
    </row>
    <row r="5" spans="1:7" x14ac:dyDescent="0.25">
      <c r="A5" s="30" t="s">
        <v>406</v>
      </c>
      <c r="B5" s="29" t="s">
        <v>97</v>
      </c>
      <c r="C5" s="44">
        <v>1</v>
      </c>
      <c r="D5" s="3" t="s">
        <v>494</v>
      </c>
      <c r="E5" s="24" t="e">
        <f>SUMIFS(#REF!,#REF!,TablaPercepciones[[#This Row],[Trabajador]])</f>
        <v>#REF!</v>
      </c>
      <c r="F5" s="24">
        <v>0</v>
      </c>
      <c r="G5" s="10">
        <f>IF(TablaPercepciones[[#This Row],[Percepción]]="","",VLOOKUP(TablaPercepciones[[#This Row],[Percepción]],Cat!$M$2:$N$42,2,0))</f>
        <v>1</v>
      </c>
    </row>
    <row r="6" spans="1:7" x14ac:dyDescent="0.25">
      <c r="A6" s="30" t="s">
        <v>411</v>
      </c>
      <c r="B6" s="29" t="s">
        <v>97</v>
      </c>
      <c r="C6" s="44">
        <v>1</v>
      </c>
      <c r="D6" s="3" t="s">
        <v>494</v>
      </c>
      <c r="E6" s="24" t="e">
        <f>SUMIFS(#REF!,#REF!,TablaPercepciones[[#This Row],[Trabajador]])</f>
        <v>#REF!</v>
      </c>
      <c r="F6" s="24">
        <v>0</v>
      </c>
      <c r="G6" s="10">
        <f>IF(TablaPercepciones[[#This Row],[Percepción]]="","",VLOOKUP(TablaPercepciones[[#This Row],[Percepción]],Cat!$M$2:$N$42,2,0))</f>
        <v>1</v>
      </c>
    </row>
    <row r="7" spans="1:7" x14ac:dyDescent="0.25">
      <c r="A7" s="30" t="s">
        <v>412</v>
      </c>
      <c r="B7" s="29" t="s">
        <v>97</v>
      </c>
      <c r="C7" s="44">
        <v>1</v>
      </c>
      <c r="D7" s="3" t="s">
        <v>494</v>
      </c>
      <c r="E7" s="24" t="e">
        <f>SUMIFS(#REF!,#REF!,TablaPercepciones[[#This Row],[Trabajador]])</f>
        <v>#REF!</v>
      </c>
      <c r="F7" s="24">
        <v>0</v>
      </c>
      <c r="G7" s="10">
        <f>IF(TablaPercepciones[[#This Row],[Percepción]]="","",VLOOKUP(TablaPercepciones[[#This Row],[Percepción]],Cat!$M$2:$N$42,2,0))</f>
        <v>1</v>
      </c>
    </row>
    <row r="8" spans="1:7" x14ac:dyDescent="0.25">
      <c r="A8" s="30" t="s">
        <v>418</v>
      </c>
      <c r="B8" s="29" t="s">
        <v>97</v>
      </c>
      <c r="C8" s="44">
        <v>1</v>
      </c>
      <c r="D8" s="3" t="s">
        <v>494</v>
      </c>
      <c r="E8" s="24" t="e">
        <f>SUMIFS(#REF!,#REF!,TablaPercepciones[[#This Row],[Trabajador]])</f>
        <v>#REF!</v>
      </c>
      <c r="F8" s="24">
        <v>0</v>
      </c>
      <c r="G8" s="10">
        <f>IF(TablaPercepciones[[#This Row],[Percepción]]="","",VLOOKUP(TablaPercepciones[[#This Row],[Percepción]],Cat!$M$2:$N$42,2,0))</f>
        <v>1</v>
      </c>
    </row>
    <row r="9" spans="1:7" x14ac:dyDescent="0.25">
      <c r="A9" s="30" t="s">
        <v>414</v>
      </c>
      <c r="B9" s="29" t="s">
        <v>97</v>
      </c>
      <c r="C9" s="44">
        <v>1</v>
      </c>
      <c r="D9" s="3" t="s">
        <v>494</v>
      </c>
      <c r="E9" s="24" t="e">
        <f>SUMIFS(#REF!,#REF!,TablaPercepciones[[#This Row],[Trabajador]])</f>
        <v>#REF!</v>
      </c>
      <c r="F9" s="24">
        <v>0</v>
      </c>
      <c r="G9" s="10">
        <f>IF(TablaPercepciones[[#This Row],[Percepción]]="","",VLOOKUP(TablaPercepciones[[#This Row],[Percepción]],Cat!$M$2:$N$42,2,0))</f>
        <v>1</v>
      </c>
    </row>
    <row r="10" spans="1:7" x14ac:dyDescent="0.25">
      <c r="A10" s="30" t="s">
        <v>409</v>
      </c>
      <c r="B10" s="29" t="s">
        <v>97</v>
      </c>
      <c r="C10" s="44">
        <v>1</v>
      </c>
      <c r="D10" s="3" t="s">
        <v>494</v>
      </c>
      <c r="E10" s="24" t="e">
        <f>SUMIFS(#REF!,#REF!,TablaPercepciones[[#This Row],[Trabajador]])</f>
        <v>#REF!</v>
      </c>
      <c r="F10" s="24">
        <v>0</v>
      </c>
      <c r="G10" s="10">
        <f>IF(TablaPercepciones[[#This Row],[Percepción]]="","",VLOOKUP(TablaPercepciones[[#This Row],[Percepción]],Cat!$M$2:$N$42,2,0))</f>
        <v>1</v>
      </c>
    </row>
    <row r="11" spans="1:7" x14ac:dyDescent="0.25">
      <c r="A11" s="30" t="s">
        <v>416</v>
      </c>
      <c r="B11" s="29" t="s">
        <v>97</v>
      </c>
      <c r="C11" s="44">
        <v>1</v>
      </c>
      <c r="D11" s="3" t="s">
        <v>494</v>
      </c>
      <c r="E11" s="24" t="e">
        <f>SUMIFS(#REF!,#REF!,TablaPercepciones[[#This Row],[Trabajador]])</f>
        <v>#REF!</v>
      </c>
      <c r="F11" s="24">
        <v>0</v>
      </c>
      <c r="G11" s="10">
        <f>IF(TablaPercepciones[[#This Row],[Percepción]]="","",VLOOKUP(TablaPercepciones[[#This Row],[Percepción]],Cat!$M$2:$N$42,2,0))</f>
        <v>1</v>
      </c>
    </row>
    <row r="12" spans="1:7" x14ac:dyDescent="0.25">
      <c r="A12" s="30" t="s">
        <v>407</v>
      </c>
      <c r="B12" s="29" t="s">
        <v>97</v>
      </c>
      <c r="C12" s="44">
        <v>1</v>
      </c>
      <c r="D12" s="3" t="s">
        <v>494</v>
      </c>
      <c r="E12" s="24" t="e">
        <f>SUMIFS(#REF!,#REF!,TablaPercepciones[[#This Row],[Trabajador]])</f>
        <v>#REF!</v>
      </c>
      <c r="F12" s="24">
        <v>0</v>
      </c>
      <c r="G12" s="10">
        <f>IF(TablaPercepciones[[#This Row],[Percepción]]="","",VLOOKUP(TablaPercepciones[[#This Row],[Percepción]],Cat!$M$2:$N$42,2,0))</f>
        <v>1</v>
      </c>
    </row>
    <row r="13" spans="1:7" x14ac:dyDescent="0.25">
      <c r="A13" s="30" t="s">
        <v>505</v>
      </c>
      <c r="B13" s="29" t="s">
        <v>97</v>
      </c>
      <c r="C13" s="44">
        <v>1</v>
      </c>
      <c r="D13" s="3" t="s">
        <v>494</v>
      </c>
      <c r="E13" s="24" t="e">
        <f>SUMIFS(#REF!,#REF!,TablaPercepciones[[#This Row],[Trabajador]])</f>
        <v>#REF!</v>
      </c>
      <c r="F13" s="24">
        <v>0</v>
      </c>
      <c r="G13" s="10">
        <f>IF(TablaPercepciones[[#This Row],[Percepción]]="","",VLOOKUP(TablaPercepciones[[#This Row],[Percepción]],Cat!$M$2:$N$42,2,0))</f>
        <v>1</v>
      </c>
    </row>
    <row r="14" spans="1:7" x14ac:dyDescent="0.25">
      <c r="A14" s="30" t="s">
        <v>413</v>
      </c>
      <c r="B14" s="29" t="s">
        <v>97</v>
      </c>
      <c r="C14" s="44">
        <v>1</v>
      </c>
      <c r="D14" s="3" t="s">
        <v>494</v>
      </c>
      <c r="E14" s="24" t="e">
        <f>SUMIFS(#REF!,#REF!,TablaPercepciones[[#This Row],[Trabajador]])</f>
        <v>#REF!</v>
      </c>
      <c r="F14" s="24">
        <v>0</v>
      </c>
      <c r="G14" s="10">
        <f>IF(TablaPercepciones[[#This Row],[Percepción]]="","",VLOOKUP(TablaPercepciones[[#This Row],[Percepción]],Cat!$M$2:$N$42,2,0))</f>
        <v>1</v>
      </c>
    </row>
    <row r="15" spans="1:7" x14ac:dyDescent="0.25">
      <c r="A15" s="30" t="s">
        <v>410</v>
      </c>
      <c r="B15" s="29" t="s">
        <v>97</v>
      </c>
      <c r="C15" s="44">
        <v>1</v>
      </c>
      <c r="D15" s="3" t="s">
        <v>494</v>
      </c>
      <c r="E15" s="24" t="e">
        <f>SUMIFS(#REF!,#REF!,TablaPercepciones[[#This Row],[Trabajador]])</f>
        <v>#REF!</v>
      </c>
      <c r="F15" s="24">
        <v>0</v>
      </c>
      <c r="G15" s="10">
        <f>IF(TablaPercepciones[[#This Row],[Percepción]]="","",VLOOKUP(TablaPercepciones[[#This Row],[Percepción]],Cat!$M$2:$N$42,2,0))</f>
        <v>1</v>
      </c>
    </row>
    <row r="16" spans="1:7" x14ac:dyDescent="0.25">
      <c r="A16" s="30" t="s">
        <v>415</v>
      </c>
      <c r="B16" s="29" t="s">
        <v>97</v>
      </c>
      <c r="C16" s="44">
        <v>1</v>
      </c>
      <c r="D16" s="3" t="s">
        <v>494</v>
      </c>
      <c r="E16" s="24" t="e">
        <f>SUMIFS(#REF!,#REF!,TablaPercepciones[[#This Row],[Trabajador]])</f>
        <v>#REF!</v>
      </c>
      <c r="F16" s="24">
        <v>0</v>
      </c>
      <c r="G16" s="10">
        <f>IF(TablaPercepciones[[#This Row],[Percepción]]="","",VLOOKUP(TablaPercepciones[[#This Row],[Percepción]],Cat!$M$2:$N$42,2,0))</f>
        <v>1</v>
      </c>
    </row>
    <row r="17" spans="1:7" x14ac:dyDescent="0.25">
      <c r="A17" s="30" t="s">
        <v>417</v>
      </c>
      <c r="B17" s="29" t="s">
        <v>97</v>
      </c>
      <c r="C17" s="44">
        <v>1</v>
      </c>
      <c r="D17" s="3" t="s">
        <v>494</v>
      </c>
      <c r="E17" s="24" t="e">
        <f>SUMIFS(#REF!,#REF!,TablaPercepciones[[#This Row],[Trabajador]])</f>
        <v>#REF!</v>
      </c>
      <c r="F17" s="24">
        <v>0</v>
      </c>
      <c r="G17" s="10">
        <f>IF(TablaPercepciones[[#This Row],[Percepción]]="","",VLOOKUP(TablaPercepciones[[#This Row],[Percepción]],Cat!$M$2:$N$42,2,0))</f>
        <v>1</v>
      </c>
    </row>
    <row r="18" spans="1:7" x14ac:dyDescent="0.25">
      <c r="A18" s="30" t="s">
        <v>422</v>
      </c>
      <c r="B18" s="29" t="s">
        <v>97</v>
      </c>
      <c r="C18" s="44">
        <v>1</v>
      </c>
      <c r="D18" s="3" t="s">
        <v>494</v>
      </c>
      <c r="E18" s="24" t="e">
        <f>SUMIFS(#REF!,#REF!,TablaPercepciones[[#This Row],[Trabajador]])</f>
        <v>#REF!</v>
      </c>
      <c r="F18" s="24">
        <v>0</v>
      </c>
      <c r="G18" s="10">
        <f>IF(TablaPercepciones[[#This Row],[Percepción]]="","",VLOOKUP(TablaPercepciones[[#This Row],[Percepción]],Cat!$M$2:$N$42,2,0))</f>
        <v>1</v>
      </c>
    </row>
    <row r="19" spans="1:7" x14ac:dyDescent="0.25">
      <c r="A19" s="30" t="s">
        <v>419</v>
      </c>
      <c r="B19" s="29" t="s">
        <v>97</v>
      </c>
      <c r="C19" s="44">
        <v>1</v>
      </c>
      <c r="D19" s="3" t="s">
        <v>494</v>
      </c>
      <c r="E19" s="24" t="e">
        <f>SUMIFS(#REF!,#REF!,TablaPercepciones[[#This Row],[Trabajador]])</f>
        <v>#REF!</v>
      </c>
      <c r="F19" s="24">
        <v>0</v>
      </c>
      <c r="G19" s="10">
        <f>IF(TablaPercepciones[[#This Row],[Percepción]]="","",VLOOKUP(TablaPercepciones[[#This Row],[Percepción]],Cat!$M$2:$N$42,2,0))</f>
        <v>1</v>
      </c>
    </row>
    <row r="20" spans="1:7" x14ac:dyDescent="0.25">
      <c r="A20" s="30" t="s">
        <v>421</v>
      </c>
      <c r="B20" s="29" t="s">
        <v>129</v>
      </c>
      <c r="C20" s="44">
        <v>29</v>
      </c>
      <c r="D20" s="3" t="s">
        <v>495</v>
      </c>
      <c r="E20" s="24">
        <v>0</v>
      </c>
      <c r="F20" s="24" t="e">
        <f>SUMIFS(#REF!,#REF!,TablaPercepciones[[#This Row],[Trabajador]])</f>
        <v>#REF!</v>
      </c>
      <c r="G20" s="10">
        <f>IF(TablaPercepciones[[#This Row],[Percepción]]="","",VLOOKUP(TablaPercepciones[[#This Row],[Percepción]],Cat!$M$2:$N$42,2,0))</f>
        <v>38</v>
      </c>
    </row>
    <row r="21" spans="1:7" x14ac:dyDescent="0.25">
      <c r="A21" s="30" t="s">
        <v>420</v>
      </c>
      <c r="B21" s="29" t="s">
        <v>129</v>
      </c>
      <c r="C21" s="44">
        <v>29</v>
      </c>
      <c r="D21" s="3" t="s">
        <v>495</v>
      </c>
      <c r="E21" s="24">
        <v>0</v>
      </c>
      <c r="F21" s="24" t="e">
        <f>SUMIFS(#REF!,#REF!,TablaPercepciones[[#This Row],[Trabajador]])</f>
        <v>#REF!</v>
      </c>
      <c r="G21" s="10">
        <f>IF(TablaPercepciones[[#This Row],[Percepción]]="","",VLOOKUP(TablaPercepciones[[#This Row],[Percepción]],Cat!$M$2:$N$42,2,0))</f>
        <v>38</v>
      </c>
    </row>
    <row r="22" spans="1:7" x14ac:dyDescent="0.25">
      <c r="A22" s="30" t="s">
        <v>408</v>
      </c>
      <c r="B22" s="29" t="s">
        <v>129</v>
      </c>
      <c r="C22" s="44">
        <v>29</v>
      </c>
      <c r="D22" s="3" t="s">
        <v>495</v>
      </c>
      <c r="E22" s="24">
        <v>0</v>
      </c>
      <c r="F22" s="24" t="e">
        <f>SUMIFS(#REF!,#REF!,TablaPercepciones[[#This Row],[Trabajador]])</f>
        <v>#REF!</v>
      </c>
      <c r="G22" s="10">
        <f>IF(TablaPercepciones[[#This Row],[Percepción]]="","",VLOOKUP(TablaPercepciones[[#This Row],[Percepción]],Cat!$M$2:$N$42,2,0))</f>
        <v>38</v>
      </c>
    </row>
    <row r="23" spans="1:7" x14ac:dyDescent="0.25">
      <c r="A23" s="30" t="s">
        <v>406</v>
      </c>
      <c r="B23" s="29" t="s">
        <v>129</v>
      </c>
      <c r="C23" s="44">
        <v>29</v>
      </c>
      <c r="D23" s="3" t="s">
        <v>495</v>
      </c>
      <c r="E23" s="24">
        <v>0</v>
      </c>
      <c r="F23" s="24" t="e">
        <f>SUMIFS(#REF!,#REF!,TablaPercepciones[[#This Row],[Trabajador]])</f>
        <v>#REF!</v>
      </c>
      <c r="G23" s="10">
        <f>IF(TablaPercepciones[[#This Row],[Percepción]]="","",VLOOKUP(TablaPercepciones[[#This Row],[Percepción]],Cat!$M$2:$N$42,2,0))</f>
        <v>38</v>
      </c>
    </row>
    <row r="24" spans="1:7" x14ac:dyDescent="0.25">
      <c r="A24" s="30" t="s">
        <v>411</v>
      </c>
      <c r="B24" s="29" t="s">
        <v>129</v>
      </c>
      <c r="C24" s="44">
        <v>29</v>
      </c>
      <c r="D24" s="3" t="s">
        <v>495</v>
      </c>
      <c r="E24" s="24">
        <v>0</v>
      </c>
      <c r="F24" s="24" t="e">
        <f>SUMIFS(#REF!,#REF!,TablaPercepciones[[#This Row],[Trabajador]])</f>
        <v>#REF!</v>
      </c>
      <c r="G24" s="10">
        <f>IF(TablaPercepciones[[#This Row],[Percepción]]="","",VLOOKUP(TablaPercepciones[[#This Row],[Percepción]],Cat!$M$2:$N$42,2,0))</f>
        <v>38</v>
      </c>
    </row>
    <row r="25" spans="1:7" x14ac:dyDescent="0.25">
      <c r="A25" s="30" t="s">
        <v>412</v>
      </c>
      <c r="B25" s="29" t="s">
        <v>129</v>
      </c>
      <c r="C25" s="44">
        <v>29</v>
      </c>
      <c r="D25" s="3" t="s">
        <v>495</v>
      </c>
      <c r="E25" s="24">
        <v>0</v>
      </c>
      <c r="F25" s="24" t="e">
        <f>SUMIFS(#REF!,#REF!,TablaPercepciones[[#This Row],[Trabajador]])</f>
        <v>#REF!</v>
      </c>
      <c r="G25" s="10">
        <f>IF(TablaPercepciones[[#This Row],[Percepción]]="","",VLOOKUP(TablaPercepciones[[#This Row],[Percepción]],Cat!$M$2:$N$42,2,0))</f>
        <v>38</v>
      </c>
    </row>
    <row r="26" spans="1:7" x14ac:dyDescent="0.25">
      <c r="A26" s="30" t="s">
        <v>418</v>
      </c>
      <c r="B26" s="29" t="s">
        <v>129</v>
      </c>
      <c r="C26" s="44">
        <v>29</v>
      </c>
      <c r="D26" s="3" t="s">
        <v>495</v>
      </c>
      <c r="E26" s="24">
        <v>0</v>
      </c>
      <c r="F26" s="24" t="e">
        <f>SUMIFS(#REF!,#REF!,TablaPercepciones[[#This Row],[Trabajador]])</f>
        <v>#REF!</v>
      </c>
      <c r="G26" s="10">
        <f>IF(TablaPercepciones[[#This Row],[Percepción]]="","",VLOOKUP(TablaPercepciones[[#This Row],[Percepción]],Cat!$M$2:$N$42,2,0))</f>
        <v>38</v>
      </c>
    </row>
    <row r="27" spans="1:7" x14ac:dyDescent="0.25">
      <c r="A27" s="30" t="s">
        <v>414</v>
      </c>
      <c r="B27" s="29" t="s">
        <v>129</v>
      </c>
      <c r="C27" s="44">
        <v>29</v>
      </c>
      <c r="D27" s="3" t="s">
        <v>495</v>
      </c>
      <c r="E27" s="24">
        <v>0</v>
      </c>
      <c r="F27" s="24" t="e">
        <f>SUMIFS(#REF!,#REF!,TablaPercepciones[[#This Row],[Trabajador]])</f>
        <v>#REF!</v>
      </c>
      <c r="G27" s="10">
        <f>IF(TablaPercepciones[[#This Row],[Percepción]]="","",VLOOKUP(TablaPercepciones[[#This Row],[Percepción]],Cat!$M$2:$N$42,2,0))</f>
        <v>38</v>
      </c>
    </row>
    <row r="28" spans="1:7" x14ac:dyDescent="0.25">
      <c r="A28" s="30" t="s">
        <v>409</v>
      </c>
      <c r="B28" s="29" t="s">
        <v>129</v>
      </c>
      <c r="C28" s="44">
        <v>29</v>
      </c>
      <c r="D28" s="3" t="s">
        <v>495</v>
      </c>
      <c r="E28" s="24">
        <v>0</v>
      </c>
      <c r="F28" s="24" t="e">
        <f>SUMIFS(#REF!,#REF!,TablaPercepciones[[#This Row],[Trabajador]])</f>
        <v>#REF!</v>
      </c>
      <c r="G28" s="10">
        <f>IF(TablaPercepciones[[#This Row],[Percepción]]="","",VLOOKUP(TablaPercepciones[[#This Row],[Percepción]],Cat!$M$2:$N$42,2,0))</f>
        <v>38</v>
      </c>
    </row>
    <row r="29" spans="1:7" x14ac:dyDescent="0.25">
      <c r="A29" s="30" t="s">
        <v>416</v>
      </c>
      <c r="B29" s="29" t="s">
        <v>129</v>
      </c>
      <c r="C29" s="44">
        <v>29</v>
      </c>
      <c r="D29" s="3" t="s">
        <v>495</v>
      </c>
      <c r="E29" s="24">
        <v>0</v>
      </c>
      <c r="F29" s="24" t="e">
        <f>SUMIFS(#REF!,#REF!,TablaPercepciones[[#This Row],[Trabajador]])</f>
        <v>#REF!</v>
      </c>
      <c r="G29" s="10">
        <f>IF(TablaPercepciones[[#This Row],[Percepción]]="","",VLOOKUP(TablaPercepciones[[#This Row],[Percepción]],Cat!$M$2:$N$42,2,0))</f>
        <v>38</v>
      </c>
    </row>
    <row r="30" spans="1:7" x14ac:dyDescent="0.25">
      <c r="A30" s="30" t="s">
        <v>407</v>
      </c>
      <c r="B30" s="29" t="s">
        <v>129</v>
      </c>
      <c r="C30" s="44">
        <v>29</v>
      </c>
      <c r="D30" s="3" t="s">
        <v>495</v>
      </c>
      <c r="E30" s="24">
        <v>0</v>
      </c>
      <c r="F30" s="24" t="e">
        <f>SUMIFS(#REF!,#REF!,TablaPercepciones[[#This Row],[Trabajador]])</f>
        <v>#REF!</v>
      </c>
      <c r="G30" s="10">
        <f>IF(TablaPercepciones[[#This Row],[Percepción]]="","",VLOOKUP(TablaPercepciones[[#This Row],[Percepción]],Cat!$M$2:$N$42,2,0))</f>
        <v>38</v>
      </c>
    </row>
    <row r="31" spans="1:7" x14ac:dyDescent="0.25">
      <c r="A31" s="30" t="s">
        <v>505</v>
      </c>
      <c r="B31" s="29" t="s">
        <v>129</v>
      </c>
      <c r="C31" s="44">
        <v>29</v>
      </c>
      <c r="D31" s="3" t="s">
        <v>495</v>
      </c>
      <c r="E31" s="24">
        <v>0</v>
      </c>
      <c r="F31" s="24" t="e">
        <f>SUMIFS(#REF!,#REF!,TablaPercepciones[[#This Row],[Trabajador]])</f>
        <v>#REF!</v>
      </c>
      <c r="G31" s="10">
        <f>IF(TablaPercepciones[[#This Row],[Percepción]]="","",VLOOKUP(TablaPercepciones[[#This Row],[Percepción]],Cat!$M$2:$N$42,2,0))</f>
        <v>38</v>
      </c>
    </row>
    <row r="32" spans="1:7" x14ac:dyDescent="0.25">
      <c r="A32" s="30" t="s">
        <v>413</v>
      </c>
      <c r="B32" s="29" t="s">
        <v>129</v>
      </c>
      <c r="C32" s="44">
        <v>29</v>
      </c>
      <c r="D32" s="3" t="s">
        <v>495</v>
      </c>
      <c r="E32" s="24">
        <v>0</v>
      </c>
      <c r="F32" s="24" t="e">
        <f>SUMIFS(#REF!,#REF!,TablaPercepciones[[#This Row],[Trabajador]])</f>
        <v>#REF!</v>
      </c>
      <c r="G32" s="10">
        <f>IF(TablaPercepciones[[#This Row],[Percepción]]="","",VLOOKUP(TablaPercepciones[[#This Row],[Percepción]],Cat!$M$2:$N$42,2,0))</f>
        <v>38</v>
      </c>
    </row>
    <row r="33" spans="1:7" x14ac:dyDescent="0.25">
      <c r="A33" s="30" t="s">
        <v>410</v>
      </c>
      <c r="B33" s="29" t="s">
        <v>129</v>
      </c>
      <c r="C33" s="44">
        <v>29</v>
      </c>
      <c r="D33" s="3" t="s">
        <v>495</v>
      </c>
      <c r="E33" s="24">
        <v>0</v>
      </c>
      <c r="F33" s="24" t="e">
        <f>SUMIFS(#REF!,#REF!,TablaPercepciones[[#This Row],[Trabajador]])</f>
        <v>#REF!</v>
      </c>
      <c r="G33" s="10">
        <f>IF(TablaPercepciones[[#This Row],[Percepción]]="","",VLOOKUP(TablaPercepciones[[#This Row],[Percepción]],Cat!$M$2:$N$42,2,0))</f>
        <v>38</v>
      </c>
    </row>
    <row r="34" spans="1:7" x14ac:dyDescent="0.25">
      <c r="A34" s="30" t="s">
        <v>415</v>
      </c>
      <c r="B34" s="29" t="s">
        <v>129</v>
      </c>
      <c r="C34" s="44">
        <v>29</v>
      </c>
      <c r="D34" s="3" t="s">
        <v>495</v>
      </c>
      <c r="E34" s="24">
        <v>0</v>
      </c>
      <c r="F34" s="24" t="e">
        <f>SUMIFS(#REF!,#REF!,TablaPercepciones[[#This Row],[Trabajador]])</f>
        <v>#REF!</v>
      </c>
      <c r="G34" s="10">
        <f>IF(TablaPercepciones[[#This Row],[Percepción]]="","",VLOOKUP(TablaPercepciones[[#This Row],[Percepción]],Cat!$M$2:$N$42,2,0))</f>
        <v>38</v>
      </c>
    </row>
    <row r="35" spans="1:7" x14ac:dyDescent="0.25">
      <c r="A35" s="30" t="s">
        <v>417</v>
      </c>
      <c r="B35" s="29" t="s">
        <v>129</v>
      </c>
      <c r="C35" s="44">
        <v>29</v>
      </c>
      <c r="D35" s="3" t="s">
        <v>495</v>
      </c>
      <c r="E35" s="24">
        <v>0</v>
      </c>
      <c r="F35" s="24" t="e">
        <f>SUMIFS(#REF!,#REF!,TablaPercepciones[[#This Row],[Trabajador]])</f>
        <v>#REF!</v>
      </c>
      <c r="G35" s="10">
        <f>IF(TablaPercepciones[[#This Row],[Percepción]]="","",VLOOKUP(TablaPercepciones[[#This Row],[Percepción]],Cat!$M$2:$N$42,2,0))</f>
        <v>38</v>
      </c>
    </row>
    <row r="36" spans="1:7" x14ac:dyDescent="0.25">
      <c r="A36" s="30" t="s">
        <v>422</v>
      </c>
      <c r="B36" s="29" t="s">
        <v>129</v>
      </c>
      <c r="C36" s="44">
        <v>29</v>
      </c>
      <c r="D36" s="3" t="s">
        <v>495</v>
      </c>
      <c r="E36" s="24">
        <v>0</v>
      </c>
      <c r="F36" s="24" t="e">
        <f>SUMIFS(#REF!,#REF!,TablaPercepciones[[#This Row],[Trabajador]])</f>
        <v>#REF!</v>
      </c>
      <c r="G36" s="10">
        <f>IF(TablaPercepciones[[#This Row],[Percepción]]="","",VLOOKUP(TablaPercepciones[[#This Row],[Percepción]],Cat!$M$2:$N$42,2,0))</f>
        <v>38</v>
      </c>
    </row>
    <row r="37" spans="1:7" x14ac:dyDescent="0.25">
      <c r="A37" s="30" t="s">
        <v>419</v>
      </c>
      <c r="B37" s="29" t="s">
        <v>129</v>
      </c>
      <c r="C37" s="44">
        <v>29</v>
      </c>
      <c r="D37" s="3" t="s">
        <v>495</v>
      </c>
      <c r="E37" s="24">
        <v>0</v>
      </c>
      <c r="F37" s="24" t="e">
        <f>SUMIFS(#REF!,#REF!,TablaPercepciones[[#This Row],[Trabajador]])</f>
        <v>#REF!</v>
      </c>
      <c r="G37" s="10">
        <f>IF(TablaPercepciones[[#This Row],[Percepción]]="","",VLOOKUP(TablaPercepciones[[#This Row],[Percepción]],Cat!$M$2:$N$42,2,0))</f>
        <v>38</v>
      </c>
    </row>
    <row r="38" spans="1:7" x14ac:dyDescent="0.25">
      <c r="A38" s="30" t="s">
        <v>421</v>
      </c>
      <c r="B38" s="29" t="s">
        <v>97</v>
      </c>
      <c r="C38" s="44">
        <v>46</v>
      </c>
      <c r="D38" s="3" t="s">
        <v>496</v>
      </c>
      <c r="E38" s="24" t="e">
        <f>SUMIFS(#REF!,#REF!,TablaPercepciones[[#This Row],[Trabajador]])</f>
        <v>#REF!</v>
      </c>
      <c r="F38" s="24">
        <v>0</v>
      </c>
      <c r="G38" s="10">
        <f>IF(TablaPercepciones[[#This Row],[Percepción]]="","",VLOOKUP(TablaPercepciones[[#This Row],[Percepción]],Cat!$M$2:$N$42,2,0))</f>
        <v>1</v>
      </c>
    </row>
    <row r="39" spans="1:7" x14ac:dyDescent="0.25">
      <c r="A39" s="30" t="s">
        <v>420</v>
      </c>
      <c r="B39" s="29" t="s">
        <v>97</v>
      </c>
      <c r="C39" s="44">
        <v>46</v>
      </c>
      <c r="D39" s="3" t="s">
        <v>496</v>
      </c>
      <c r="E39" s="24" t="e">
        <f>SUMIFS(#REF!,#REF!,TablaPercepciones[[#This Row],[Trabajador]])</f>
        <v>#REF!</v>
      </c>
      <c r="F39" s="24">
        <v>0</v>
      </c>
      <c r="G39" s="10">
        <f>IF(TablaPercepciones[[#This Row],[Percepción]]="","",VLOOKUP(TablaPercepciones[[#This Row],[Percepción]],Cat!$M$2:$N$42,2,0))</f>
        <v>1</v>
      </c>
    </row>
    <row r="40" spans="1:7" x14ac:dyDescent="0.25">
      <c r="A40" s="30" t="s">
        <v>408</v>
      </c>
      <c r="B40" s="29" t="s">
        <v>97</v>
      </c>
      <c r="C40" s="44">
        <v>46</v>
      </c>
      <c r="D40" s="3" t="s">
        <v>496</v>
      </c>
      <c r="E40" s="24" t="e">
        <f>SUMIFS(#REF!,#REF!,TablaPercepciones[[#This Row],[Trabajador]])</f>
        <v>#REF!</v>
      </c>
      <c r="F40" s="24">
        <v>0</v>
      </c>
      <c r="G40" s="10">
        <f>IF(TablaPercepciones[[#This Row],[Percepción]]="","",VLOOKUP(TablaPercepciones[[#This Row],[Percepción]],Cat!$M$2:$N$42,2,0))</f>
        <v>1</v>
      </c>
    </row>
    <row r="41" spans="1:7" x14ac:dyDescent="0.25">
      <c r="A41" s="30" t="s">
        <v>406</v>
      </c>
      <c r="B41" s="29" t="s">
        <v>97</v>
      </c>
      <c r="C41" s="44">
        <v>46</v>
      </c>
      <c r="D41" s="3" t="s">
        <v>496</v>
      </c>
      <c r="E41" s="24" t="e">
        <f>SUMIFS(#REF!,#REF!,TablaPercepciones[[#This Row],[Trabajador]])</f>
        <v>#REF!</v>
      </c>
      <c r="F41" s="24">
        <v>0</v>
      </c>
      <c r="G41" s="10">
        <f>IF(TablaPercepciones[[#This Row],[Percepción]]="","",VLOOKUP(TablaPercepciones[[#This Row],[Percepción]],Cat!$M$2:$N$42,2,0))</f>
        <v>1</v>
      </c>
    </row>
    <row r="42" spans="1:7" x14ac:dyDescent="0.25">
      <c r="A42" s="30" t="s">
        <v>411</v>
      </c>
      <c r="B42" s="29" t="s">
        <v>97</v>
      </c>
      <c r="C42" s="44">
        <v>46</v>
      </c>
      <c r="D42" s="3" t="s">
        <v>496</v>
      </c>
      <c r="E42" s="24" t="e">
        <f>SUMIFS(#REF!,#REF!,TablaPercepciones[[#This Row],[Trabajador]])</f>
        <v>#REF!</v>
      </c>
      <c r="F42" s="24">
        <v>0</v>
      </c>
      <c r="G42" s="10">
        <f>IF(TablaPercepciones[[#This Row],[Percepción]]="","",VLOOKUP(TablaPercepciones[[#This Row],[Percepción]],Cat!$M$2:$N$42,2,0))</f>
        <v>1</v>
      </c>
    </row>
    <row r="43" spans="1:7" x14ac:dyDescent="0.25">
      <c r="A43" s="30" t="s">
        <v>412</v>
      </c>
      <c r="B43" s="29" t="s">
        <v>97</v>
      </c>
      <c r="C43" s="44">
        <v>46</v>
      </c>
      <c r="D43" s="3" t="s">
        <v>496</v>
      </c>
      <c r="E43" s="24" t="e">
        <f>SUMIFS(#REF!,#REF!,TablaPercepciones[[#This Row],[Trabajador]])</f>
        <v>#REF!</v>
      </c>
      <c r="F43" s="24">
        <v>0</v>
      </c>
      <c r="G43" s="10">
        <f>IF(TablaPercepciones[[#This Row],[Percepción]]="","",VLOOKUP(TablaPercepciones[[#This Row],[Percepción]],Cat!$M$2:$N$42,2,0))</f>
        <v>1</v>
      </c>
    </row>
    <row r="44" spans="1:7" x14ac:dyDescent="0.25">
      <c r="A44" s="30" t="s">
        <v>418</v>
      </c>
      <c r="B44" s="29" t="s">
        <v>97</v>
      </c>
      <c r="C44" s="44">
        <v>46</v>
      </c>
      <c r="D44" s="3" t="s">
        <v>496</v>
      </c>
      <c r="E44" s="24" t="e">
        <f>SUMIFS(#REF!,#REF!,TablaPercepciones[[#This Row],[Trabajador]])</f>
        <v>#REF!</v>
      </c>
      <c r="F44" s="24">
        <v>0</v>
      </c>
      <c r="G44" s="10">
        <f>IF(TablaPercepciones[[#This Row],[Percepción]]="","",VLOOKUP(TablaPercepciones[[#This Row],[Percepción]],Cat!$M$2:$N$42,2,0))</f>
        <v>1</v>
      </c>
    </row>
    <row r="45" spans="1:7" x14ac:dyDescent="0.25">
      <c r="A45" s="30" t="s">
        <v>414</v>
      </c>
      <c r="B45" s="29" t="s">
        <v>97</v>
      </c>
      <c r="C45" s="44">
        <v>46</v>
      </c>
      <c r="D45" s="3" t="s">
        <v>496</v>
      </c>
      <c r="E45" s="24" t="e">
        <f>SUMIFS(#REF!,#REF!,TablaPercepciones[[#This Row],[Trabajador]])</f>
        <v>#REF!</v>
      </c>
      <c r="F45" s="24">
        <v>0</v>
      </c>
      <c r="G45" s="10">
        <f>IF(TablaPercepciones[[#This Row],[Percepción]]="","",VLOOKUP(TablaPercepciones[[#This Row],[Percepción]],Cat!$M$2:$N$42,2,0))</f>
        <v>1</v>
      </c>
    </row>
    <row r="46" spans="1:7" x14ac:dyDescent="0.25">
      <c r="A46" s="30" t="s">
        <v>409</v>
      </c>
      <c r="B46" s="29" t="s">
        <v>97</v>
      </c>
      <c r="C46" s="44">
        <v>46</v>
      </c>
      <c r="D46" s="3" t="s">
        <v>496</v>
      </c>
      <c r="E46" s="24" t="e">
        <f>SUMIFS(#REF!,#REF!,TablaPercepciones[[#This Row],[Trabajador]])</f>
        <v>#REF!</v>
      </c>
      <c r="F46" s="24">
        <v>0</v>
      </c>
      <c r="G46" s="10">
        <f>IF(TablaPercepciones[[#This Row],[Percepción]]="","",VLOOKUP(TablaPercepciones[[#This Row],[Percepción]],Cat!$M$2:$N$42,2,0))</f>
        <v>1</v>
      </c>
    </row>
    <row r="47" spans="1:7" x14ac:dyDescent="0.25">
      <c r="A47" s="30" t="s">
        <v>416</v>
      </c>
      <c r="B47" s="29" t="s">
        <v>97</v>
      </c>
      <c r="C47" s="44">
        <v>46</v>
      </c>
      <c r="D47" s="3" t="s">
        <v>496</v>
      </c>
      <c r="E47" s="24" t="e">
        <f>SUMIFS(#REF!,#REF!,TablaPercepciones[[#This Row],[Trabajador]])</f>
        <v>#REF!</v>
      </c>
      <c r="F47" s="24">
        <v>0</v>
      </c>
      <c r="G47" s="10">
        <f>IF(TablaPercepciones[[#This Row],[Percepción]]="","",VLOOKUP(TablaPercepciones[[#This Row],[Percepción]],Cat!$M$2:$N$42,2,0))</f>
        <v>1</v>
      </c>
    </row>
    <row r="48" spans="1:7" x14ac:dyDescent="0.25">
      <c r="A48" s="30" t="s">
        <v>407</v>
      </c>
      <c r="B48" s="29" t="s">
        <v>97</v>
      </c>
      <c r="C48" s="44">
        <v>46</v>
      </c>
      <c r="D48" s="3" t="s">
        <v>496</v>
      </c>
      <c r="E48" s="24" t="e">
        <f>SUMIFS(#REF!,#REF!,TablaPercepciones[[#This Row],[Trabajador]])</f>
        <v>#REF!</v>
      </c>
      <c r="F48" s="24">
        <v>0</v>
      </c>
      <c r="G48" s="10">
        <f>IF(TablaPercepciones[[#This Row],[Percepción]]="","",VLOOKUP(TablaPercepciones[[#This Row],[Percepción]],Cat!$M$2:$N$42,2,0))</f>
        <v>1</v>
      </c>
    </row>
    <row r="49" spans="1:7" x14ac:dyDescent="0.25">
      <c r="A49" s="30" t="s">
        <v>505</v>
      </c>
      <c r="B49" s="29" t="s">
        <v>97</v>
      </c>
      <c r="C49" s="44">
        <v>46</v>
      </c>
      <c r="D49" s="3" t="s">
        <v>496</v>
      </c>
      <c r="E49" s="24" t="e">
        <f>SUMIFS(#REF!,#REF!,TablaPercepciones[[#This Row],[Trabajador]])</f>
        <v>#REF!</v>
      </c>
      <c r="F49" s="24">
        <v>0</v>
      </c>
      <c r="G49" s="10">
        <f>IF(TablaPercepciones[[#This Row],[Percepción]]="","",VLOOKUP(TablaPercepciones[[#This Row],[Percepción]],Cat!$M$2:$N$42,2,0))</f>
        <v>1</v>
      </c>
    </row>
    <row r="50" spans="1:7" x14ac:dyDescent="0.25">
      <c r="A50" s="30" t="s">
        <v>413</v>
      </c>
      <c r="B50" s="29" t="s">
        <v>97</v>
      </c>
      <c r="C50" s="44">
        <v>46</v>
      </c>
      <c r="D50" s="3" t="s">
        <v>496</v>
      </c>
      <c r="E50" s="24" t="e">
        <f>SUMIFS(#REF!,#REF!,TablaPercepciones[[#This Row],[Trabajador]])</f>
        <v>#REF!</v>
      </c>
      <c r="F50" s="24">
        <v>0</v>
      </c>
      <c r="G50" s="10">
        <f>IF(TablaPercepciones[[#This Row],[Percepción]]="","",VLOOKUP(TablaPercepciones[[#This Row],[Percepción]],Cat!$M$2:$N$42,2,0))</f>
        <v>1</v>
      </c>
    </row>
    <row r="51" spans="1:7" x14ac:dyDescent="0.25">
      <c r="A51" s="30" t="s">
        <v>410</v>
      </c>
      <c r="B51" s="29" t="s">
        <v>97</v>
      </c>
      <c r="C51" s="44">
        <v>46</v>
      </c>
      <c r="D51" s="3" t="s">
        <v>496</v>
      </c>
      <c r="E51" s="24" t="e">
        <f>SUMIFS(#REF!,#REF!,TablaPercepciones[[#This Row],[Trabajador]])</f>
        <v>#REF!</v>
      </c>
      <c r="F51" s="24">
        <v>0</v>
      </c>
      <c r="G51" s="10">
        <f>IF(TablaPercepciones[[#This Row],[Percepción]]="","",VLOOKUP(TablaPercepciones[[#This Row],[Percepción]],Cat!$M$2:$N$42,2,0))</f>
        <v>1</v>
      </c>
    </row>
    <row r="52" spans="1:7" x14ac:dyDescent="0.25">
      <c r="A52" s="30" t="s">
        <v>415</v>
      </c>
      <c r="B52" s="29" t="s">
        <v>97</v>
      </c>
      <c r="C52" s="44">
        <v>46</v>
      </c>
      <c r="D52" s="3" t="s">
        <v>496</v>
      </c>
      <c r="E52" s="24" t="e">
        <f>SUMIFS(#REF!,#REF!,TablaPercepciones[[#This Row],[Trabajador]])</f>
        <v>#REF!</v>
      </c>
      <c r="F52" s="24">
        <v>0</v>
      </c>
      <c r="G52" s="10">
        <f>IF(TablaPercepciones[[#This Row],[Percepción]]="","",VLOOKUP(TablaPercepciones[[#This Row],[Percepción]],Cat!$M$2:$N$42,2,0))</f>
        <v>1</v>
      </c>
    </row>
    <row r="53" spans="1:7" x14ac:dyDescent="0.25">
      <c r="A53" s="30" t="s">
        <v>417</v>
      </c>
      <c r="B53" s="29" t="s">
        <v>97</v>
      </c>
      <c r="C53" s="44">
        <v>46</v>
      </c>
      <c r="D53" s="3" t="s">
        <v>496</v>
      </c>
      <c r="E53" s="24" t="e">
        <f>SUMIFS(#REF!,#REF!,TablaPercepciones[[#This Row],[Trabajador]])</f>
        <v>#REF!</v>
      </c>
      <c r="F53" s="24">
        <v>0</v>
      </c>
      <c r="G53" s="10">
        <f>IF(TablaPercepciones[[#This Row],[Percepción]]="","",VLOOKUP(TablaPercepciones[[#This Row],[Percepción]],Cat!$M$2:$N$42,2,0))</f>
        <v>1</v>
      </c>
    </row>
    <row r="54" spans="1:7" x14ac:dyDescent="0.25">
      <c r="A54" s="30" t="s">
        <v>422</v>
      </c>
      <c r="B54" s="29" t="s">
        <v>97</v>
      </c>
      <c r="C54" s="44">
        <v>46</v>
      </c>
      <c r="D54" s="3" t="s">
        <v>496</v>
      </c>
      <c r="E54" s="24" t="e">
        <f>SUMIFS(#REF!,#REF!,TablaPercepciones[[#This Row],[Trabajador]])</f>
        <v>#REF!</v>
      </c>
      <c r="F54" s="24">
        <v>0</v>
      </c>
      <c r="G54" s="10">
        <f>IF(TablaPercepciones[[#This Row],[Percepción]]="","",VLOOKUP(TablaPercepciones[[#This Row],[Percepción]],Cat!$M$2:$N$42,2,0))</f>
        <v>1</v>
      </c>
    </row>
    <row r="55" spans="1:7" x14ac:dyDescent="0.25">
      <c r="A55" s="30" t="s">
        <v>419</v>
      </c>
      <c r="B55" s="29" t="s">
        <v>97</v>
      </c>
      <c r="C55" s="44">
        <v>46</v>
      </c>
      <c r="D55" s="3" t="s">
        <v>496</v>
      </c>
      <c r="E55" s="24" t="e">
        <f>SUMIFS(#REF!,#REF!,TablaPercepciones[[#This Row],[Trabajador]])</f>
        <v>#REF!</v>
      </c>
      <c r="F55" s="24">
        <v>0</v>
      </c>
      <c r="G55" s="10">
        <f>IF(TablaPercepciones[[#This Row],[Percepción]]="","",VLOOKUP(TablaPercepciones[[#This Row],[Percepción]],Cat!$M$2:$N$42,2,0))</f>
        <v>1</v>
      </c>
    </row>
    <row r="56" spans="1:7" x14ac:dyDescent="0.25">
      <c r="A56" s="30" t="s">
        <v>421</v>
      </c>
      <c r="B56" s="29" t="s">
        <v>112</v>
      </c>
      <c r="C56" s="44">
        <v>41</v>
      </c>
      <c r="D56" s="3" t="s">
        <v>403</v>
      </c>
      <c r="E56" s="24" t="e">
        <f>SUMIFS(#REF!,#REF!,TablaPercepciones[[#This Row],[Trabajador]])-TablaPercepciones[[#This Row],[o]]</f>
        <v>#REF!</v>
      </c>
      <c r="F56" s="24" t="e">
        <f>IF(SUMIFS(#REF!,#REF!,TablaPercepciones[[#This Row],[Trabajador]])&gt;1303.2,1303.2,0)</f>
        <v>#REF!</v>
      </c>
      <c r="G56" s="10">
        <f>IF(TablaPercepciones[[#This Row],[Percepción]]="","",VLOOKUP(TablaPercepciones[[#This Row],[Percepción]],Cat!$M$2:$N$42,2,0))</f>
        <v>21</v>
      </c>
    </row>
    <row r="57" spans="1:7" x14ac:dyDescent="0.25">
      <c r="A57" s="30" t="s">
        <v>420</v>
      </c>
      <c r="B57" s="29" t="s">
        <v>112</v>
      </c>
      <c r="C57" s="44">
        <v>41</v>
      </c>
      <c r="D57" s="3" t="s">
        <v>403</v>
      </c>
      <c r="E57" s="24" t="e">
        <f>SUMIFS(#REF!,#REF!,TablaPercepciones[[#This Row],[Trabajador]])-TablaPercepciones[[#This Row],[o]]</f>
        <v>#REF!</v>
      </c>
      <c r="F57" s="24" t="e">
        <f>IF(SUMIFS(#REF!,#REF!,TablaPercepciones[[#This Row],[Trabajador]])&gt;1303.2,1303.2,0)</f>
        <v>#REF!</v>
      </c>
      <c r="G57" s="10">
        <f>IF(TablaPercepciones[[#This Row],[Percepción]]="","",VLOOKUP(TablaPercepciones[[#This Row],[Percepción]],Cat!$M$2:$N$42,2,0))</f>
        <v>21</v>
      </c>
    </row>
    <row r="58" spans="1:7" x14ac:dyDescent="0.25">
      <c r="A58" s="30" t="s">
        <v>408</v>
      </c>
      <c r="B58" s="29" t="s">
        <v>112</v>
      </c>
      <c r="C58" s="44">
        <v>41</v>
      </c>
      <c r="D58" s="3" t="s">
        <v>403</v>
      </c>
      <c r="E58" s="24" t="e">
        <f>SUMIFS(#REF!,#REF!,TablaPercepciones[[#This Row],[Trabajador]])-TablaPercepciones[[#This Row],[o]]</f>
        <v>#REF!</v>
      </c>
      <c r="F58" s="24" t="e">
        <f>IF(SUMIFS(#REF!,#REF!,TablaPercepciones[[#This Row],[Trabajador]])&gt;1303.2,1303.2,0)</f>
        <v>#REF!</v>
      </c>
      <c r="G58" s="10">
        <f>IF(TablaPercepciones[[#This Row],[Percepción]]="","",VLOOKUP(TablaPercepciones[[#This Row],[Percepción]],Cat!$M$2:$N$42,2,0))</f>
        <v>21</v>
      </c>
    </row>
    <row r="59" spans="1:7" x14ac:dyDescent="0.25">
      <c r="A59" s="30" t="s">
        <v>406</v>
      </c>
      <c r="B59" s="29" t="s">
        <v>112</v>
      </c>
      <c r="C59" s="44">
        <v>41</v>
      </c>
      <c r="D59" s="3" t="s">
        <v>403</v>
      </c>
      <c r="E59" s="24" t="e">
        <f>SUMIFS(#REF!,#REF!,TablaPercepciones[[#This Row],[Trabajador]])-TablaPercepciones[[#This Row],[o]]</f>
        <v>#REF!</v>
      </c>
      <c r="F59" s="24" t="e">
        <f>IF(SUMIFS(#REF!,#REF!,TablaPercepciones[[#This Row],[Trabajador]])&gt;1303.2,1303.2,0)</f>
        <v>#REF!</v>
      </c>
      <c r="G59" s="10">
        <f>IF(TablaPercepciones[[#This Row],[Percepción]]="","",VLOOKUP(TablaPercepciones[[#This Row],[Percepción]],Cat!$M$2:$N$42,2,0))</f>
        <v>21</v>
      </c>
    </row>
    <row r="60" spans="1:7" x14ac:dyDescent="0.25">
      <c r="A60" s="30" t="s">
        <v>411</v>
      </c>
      <c r="B60" s="29" t="s">
        <v>112</v>
      </c>
      <c r="C60" s="44">
        <v>41</v>
      </c>
      <c r="D60" s="3" t="s">
        <v>403</v>
      </c>
      <c r="E60" s="24" t="e">
        <f>SUMIFS(#REF!,#REF!,TablaPercepciones[[#This Row],[Trabajador]])-TablaPercepciones[[#This Row],[o]]</f>
        <v>#REF!</v>
      </c>
      <c r="F60" s="24" t="e">
        <f>IF(SUMIFS(#REF!,#REF!,TablaPercepciones[[#This Row],[Trabajador]])&gt;1303.2,1303.2,0)</f>
        <v>#REF!</v>
      </c>
      <c r="G60" s="10">
        <f>IF(TablaPercepciones[[#This Row],[Percepción]]="","",VLOOKUP(TablaPercepciones[[#This Row],[Percepción]],Cat!$M$2:$N$42,2,0))</f>
        <v>21</v>
      </c>
    </row>
    <row r="61" spans="1:7" x14ac:dyDescent="0.25">
      <c r="A61" s="30" t="s">
        <v>412</v>
      </c>
      <c r="B61" s="29" t="s">
        <v>112</v>
      </c>
      <c r="C61" s="44">
        <v>41</v>
      </c>
      <c r="D61" s="3" t="s">
        <v>403</v>
      </c>
      <c r="E61" s="24" t="e">
        <f>SUMIFS(#REF!,#REF!,TablaPercepciones[[#This Row],[Trabajador]])-TablaPercepciones[[#This Row],[o]]</f>
        <v>#REF!</v>
      </c>
      <c r="F61" s="24" t="e">
        <f>IF(SUMIFS(#REF!,#REF!,TablaPercepciones[[#This Row],[Trabajador]])&gt;1303.2,1303.2,0)</f>
        <v>#REF!</v>
      </c>
      <c r="G61" s="10">
        <f>IF(TablaPercepciones[[#This Row],[Percepción]]="","",VLOOKUP(TablaPercepciones[[#This Row],[Percepción]],Cat!$M$2:$N$42,2,0))</f>
        <v>21</v>
      </c>
    </row>
    <row r="62" spans="1:7" x14ac:dyDescent="0.25">
      <c r="A62" s="30" t="s">
        <v>418</v>
      </c>
      <c r="B62" s="29" t="s">
        <v>112</v>
      </c>
      <c r="C62" s="44">
        <v>41</v>
      </c>
      <c r="D62" s="3" t="s">
        <v>403</v>
      </c>
      <c r="E62" s="24" t="e">
        <f>SUMIFS(#REF!,#REF!,TablaPercepciones[[#This Row],[Trabajador]])-TablaPercepciones[[#This Row],[o]]</f>
        <v>#REF!</v>
      </c>
      <c r="F62" s="24" t="e">
        <f>IF(SUMIFS(#REF!,#REF!,TablaPercepciones[[#This Row],[Trabajador]])&gt;1303.2,1303.2,0)</f>
        <v>#REF!</v>
      </c>
      <c r="G62" s="10">
        <f>IF(TablaPercepciones[[#This Row],[Percepción]]="","",VLOOKUP(TablaPercepciones[[#This Row],[Percepción]],Cat!$M$2:$N$42,2,0))</f>
        <v>21</v>
      </c>
    </row>
    <row r="63" spans="1:7" x14ac:dyDescent="0.25">
      <c r="A63" s="30" t="s">
        <v>414</v>
      </c>
      <c r="B63" s="29" t="s">
        <v>112</v>
      </c>
      <c r="C63" s="44">
        <v>41</v>
      </c>
      <c r="D63" s="3" t="s">
        <v>403</v>
      </c>
      <c r="E63" s="24" t="e">
        <f>SUMIFS(#REF!,#REF!,TablaPercepciones[[#This Row],[Trabajador]])-TablaPercepciones[[#This Row],[o]]</f>
        <v>#REF!</v>
      </c>
      <c r="F63" s="24" t="e">
        <f>IF(SUMIFS(#REF!,#REF!,TablaPercepciones[[#This Row],[Trabajador]])&gt;1303.2,1303.2,0)</f>
        <v>#REF!</v>
      </c>
      <c r="G63" s="10">
        <f>IF(TablaPercepciones[[#This Row],[Percepción]]="","",VLOOKUP(TablaPercepciones[[#This Row],[Percepción]],Cat!$M$2:$N$42,2,0))</f>
        <v>21</v>
      </c>
    </row>
    <row r="64" spans="1:7" x14ac:dyDescent="0.25">
      <c r="A64" s="30" t="s">
        <v>409</v>
      </c>
      <c r="B64" s="29" t="s">
        <v>112</v>
      </c>
      <c r="C64" s="44">
        <v>41</v>
      </c>
      <c r="D64" s="3" t="s">
        <v>403</v>
      </c>
      <c r="E64" s="24" t="e">
        <f>SUMIFS(#REF!,#REF!,TablaPercepciones[[#This Row],[Trabajador]])-TablaPercepciones[[#This Row],[o]]</f>
        <v>#REF!</v>
      </c>
      <c r="F64" s="24" t="e">
        <f>IF(SUMIFS(#REF!,#REF!,TablaPercepciones[[#This Row],[Trabajador]])&gt;1303.2,1303.2,0)</f>
        <v>#REF!</v>
      </c>
      <c r="G64" s="10">
        <f>IF(TablaPercepciones[[#This Row],[Percepción]]="","",VLOOKUP(TablaPercepciones[[#This Row],[Percepción]],Cat!$M$2:$N$42,2,0))</f>
        <v>21</v>
      </c>
    </row>
    <row r="65" spans="1:7" x14ac:dyDescent="0.25">
      <c r="A65" s="30" t="s">
        <v>416</v>
      </c>
      <c r="B65" s="29" t="s">
        <v>112</v>
      </c>
      <c r="C65" s="44">
        <v>41</v>
      </c>
      <c r="D65" s="3" t="s">
        <v>403</v>
      </c>
      <c r="E65" s="24" t="e">
        <f>SUMIFS(#REF!,#REF!,TablaPercepciones[[#This Row],[Trabajador]])-TablaPercepciones[[#This Row],[o]]</f>
        <v>#REF!</v>
      </c>
      <c r="F65" s="24" t="e">
        <f>IF(SUMIFS(#REF!,#REF!,TablaPercepciones[[#This Row],[Trabajador]])&gt;1303.2,1303.2,0)</f>
        <v>#REF!</v>
      </c>
      <c r="G65" s="10">
        <f>IF(TablaPercepciones[[#This Row],[Percepción]]="","",VLOOKUP(TablaPercepciones[[#This Row],[Percepción]],Cat!$M$2:$N$42,2,0))</f>
        <v>21</v>
      </c>
    </row>
    <row r="66" spans="1:7" x14ac:dyDescent="0.25">
      <c r="A66" s="30" t="s">
        <v>407</v>
      </c>
      <c r="B66" s="29" t="s">
        <v>112</v>
      </c>
      <c r="C66" s="44">
        <v>41</v>
      </c>
      <c r="D66" s="3" t="s">
        <v>403</v>
      </c>
      <c r="E66" s="24" t="e">
        <f>SUMIFS(#REF!,#REF!,TablaPercepciones[[#This Row],[Trabajador]])-TablaPercepciones[[#This Row],[o]]</f>
        <v>#REF!</v>
      </c>
      <c r="F66" s="24" t="e">
        <f>IF(SUMIFS(#REF!,#REF!,TablaPercepciones[[#This Row],[Trabajador]])&gt;1303.2,1303.2,0)</f>
        <v>#REF!</v>
      </c>
      <c r="G66" s="10">
        <f>IF(TablaPercepciones[[#This Row],[Percepción]]="","",VLOOKUP(TablaPercepciones[[#This Row],[Percepción]],Cat!$M$2:$N$42,2,0))</f>
        <v>21</v>
      </c>
    </row>
    <row r="67" spans="1:7" x14ac:dyDescent="0.25">
      <c r="A67" s="30" t="s">
        <v>413</v>
      </c>
      <c r="B67" s="29" t="s">
        <v>112</v>
      </c>
      <c r="C67" s="44">
        <v>41</v>
      </c>
      <c r="D67" s="3" t="s">
        <v>403</v>
      </c>
      <c r="E67" s="24" t="e">
        <f>SUMIFS(#REF!,#REF!,TablaPercepciones[[#This Row],[Trabajador]])-TablaPercepciones[[#This Row],[o]]</f>
        <v>#REF!</v>
      </c>
      <c r="F67" s="24" t="e">
        <f>IF(SUMIFS(#REF!,#REF!,TablaPercepciones[[#This Row],[Trabajador]])&gt;1303.2,1303.2,0)</f>
        <v>#REF!</v>
      </c>
      <c r="G67" s="10">
        <f>IF(TablaPercepciones[[#This Row],[Percepción]]="","",VLOOKUP(TablaPercepciones[[#This Row],[Percepción]],Cat!$M$2:$N$42,2,0))</f>
        <v>21</v>
      </c>
    </row>
    <row r="68" spans="1:7" x14ac:dyDescent="0.25">
      <c r="A68" s="30" t="s">
        <v>410</v>
      </c>
      <c r="B68" s="29" t="s">
        <v>112</v>
      </c>
      <c r="C68" s="44">
        <v>41</v>
      </c>
      <c r="D68" s="3" t="s">
        <v>403</v>
      </c>
      <c r="E68" s="24" t="e">
        <f>SUMIFS(#REF!,#REF!,TablaPercepciones[[#This Row],[Trabajador]])-TablaPercepciones[[#This Row],[o]]</f>
        <v>#REF!</v>
      </c>
      <c r="F68" s="24" t="e">
        <f>IF(SUMIFS(#REF!,#REF!,TablaPercepciones[[#This Row],[Trabajador]])&gt;1303.2,1303.2,0)</f>
        <v>#REF!</v>
      </c>
      <c r="G68" s="10">
        <f>IF(TablaPercepciones[[#This Row],[Percepción]]="","",VLOOKUP(TablaPercepciones[[#This Row],[Percepción]],Cat!$M$2:$N$42,2,0))</f>
        <v>21</v>
      </c>
    </row>
    <row r="69" spans="1:7" x14ac:dyDescent="0.25">
      <c r="A69" s="30" t="s">
        <v>415</v>
      </c>
      <c r="B69" s="29" t="s">
        <v>112</v>
      </c>
      <c r="C69" s="44">
        <v>41</v>
      </c>
      <c r="D69" s="3" t="s">
        <v>403</v>
      </c>
      <c r="E69" s="24" t="e">
        <f>SUMIFS(#REF!,#REF!,TablaPercepciones[[#This Row],[Trabajador]])-TablaPercepciones[[#This Row],[o]]</f>
        <v>#REF!</v>
      </c>
      <c r="F69" s="24" t="e">
        <f>IF(SUMIFS(#REF!,#REF!,TablaPercepciones[[#This Row],[Trabajador]])&gt;1303.2,1303.2,0)</f>
        <v>#REF!</v>
      </c>
      <c r="G69" s="10">
        <f>IF(TablaPercepciones[[#This Row],[Percepción]]="","",VLOOKUP(TablaPercepciones[[#This Row],[Percepción]],Cat!$M$2:$N$42,2,0))</f>
        <v>21</v>
      </c>
    </row>
    <row r="70" spans="1:7" x14ac:dyDescent="0.25">
      <c r="A70" s="30" t="s">
        <v>417</v>
      </c>
      <c r="B70" s="29" t="s">
        <v>112</v>
      </c>
      <c r="C70" s="44">
        <v>41</v>
      </c>
      <c r="D70" s="3" t="s">
        <v>403</v>
      </c>
      <c r="E70" s="24" t="e">
        <f>SUMIFS(#REF!,#REF!,TablaPercepciones[[#This Row],[Trabajador]])-TablaPercepciones[[#This Row],[o]]</f>
        <v>#REF!</v>
      </c>
      <c r="F70" s="24" t="e">
        <f>IF(SUMIFS(#REF!,#REF!,TablaPercepciones[[#This Row],[Trabajador]])&gt;1303.2,1303.2,0)</f>
        <v>#REF!</v>
      </c>
      <c r="G70" s="10">
        <f>IF(TablaPercepciones[[#This Row],[Percepción]]="","",VLOOKUP(TablaPercepciones[[#This Row],[Percepción]],Cat!$M$2:$N$42,2,0))</f>
        <v>21</v>
      </c>
    </row>
    <row r="71" spans="1:7" x14ac:dyDescent="0.25">
      <c r="A71" s="30" t="s">
        <v>422</v>
      </c>
      <c r="B71" s="29" t="s">
        <v>112</v>
      </c>
      <c r="C71" s="44">
        <v>41</v>
      </c>
      <c r="D71" s="3" t="s">
        <v>403</v>
      </c>
      <c r="E71" s="24" t="e">
        <f>SUMIFS(#REF!,#REF!,TablaPercepciones[[#This Row],[Trabajador]])-TablaPercepciones[[#This Row],[o]]</f>
        <v>#REF!</v>
      </c>
      <c r="F71" s="24" t="e">
        <f>IF(SUMIFS(#REF!,#REF!,TablaPercepciones[[#This Row],[Trabajador]])&gt;1303.2,1303.2,0)</f>
        <v>#REF!</v>
      </c>
      <c r="G71" s="10">
        <f>IF(TablaPercepciones[[#This Row],[Percepción]]="","",VLOOKUP(TablaPercepciones[[#This Row],[Percepción]],Cat!$M$2:$N$42,2,0))</f>
        <v>21</v>
      </c>
    </row>
    <row r="72" spans="1:7" x14ac:dyDescent="0.25">
      <c r="A72" s="30" t="s">
        <v>419</v>
      </c>
      <c r="B72" s="29" t="s">
        <v>112</v>
      </c>
      <c r="C72" s="44">
        <v>41</v>
      </c>
      <c r="D72" s="3" t="s">
        <v>403</v>
      </c>
      <c r="E72" s="24" t="e">
        <f>SUMIFS(#REF!,#REF!,TablaPercepciones[[#This Row],[Trabajador]])-TablaPercepciones[[#This Row],[o]]</f>
        <v>#REF!</v>
      </c>
      <c r="F72" s="24" t="e">
        <f>IF(SUMIFS(#REF!,#REF!,TablaPercepciones[[#This Row],[Trabajador]])&gt;1303.2,1303.2,0)</f>
        <v>#REF!</v>
      </c>
      <c r="G72" s="10">
        <f>IF(TablaPercepciones[[#This Row],[Percepción]]="","",VLOOKUP(TablaPercepciones[[#This Row],[Percepción]],Cat!$M$2:$N$42,2,0))</f>
        <v>21</v>
      </c>
    </row>
    <row r="77" spans="1:7" x14ac:dyDescent="0.25">
      <c r="B77" t="s">
        <v>97</v>
      </c>
      <c r="C77" s="19">
        <v>1</v>
      </c>
      <c r="D77" t="s">
        <v>494</v>
      </c>
      <c r="E77">
        <v>1</v>
      </c>
    </row>
    <row r="78" spans="1:7" x14ac:dyDescent="0.25">
      <c r="B78" t="s">
        <v>129</v>
      </c>
      <c r="C78" s="19">
        <v>29</v>
      </c>
      <c r="D78" t="s">
        <v>495</v>
      </c>
      <c r="E78">
        <v>38</v>
      </c>
    </row>
    <row r="79" spans="1:7" x14ac:dyDescent="0.25">
      <c r="B79" t="s">
        <v>97</v>
      </c>
      <c r="C79" s="19">
        <v>46</v>
      </c>
      <c r="D79" t="s">
        <v>496</v>
      </c>
      <c r="E79">
        <v>1</v>
      </c>
    </row>
    <row r="80" spans="1:7" x14ac:dyDescent="0.25">
      <c r="B80" t="s">
        <v>112</v>
      </c>
      <c r="C80" s="19">
        <v>41</v>
      </c>
      <c r="D80" t="s">
        <v>403</v>
      </c>
      <c r="E80">
        <v>21</v>
      </c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1:5" x14ac:dyDescent="0.25">
      <c r="C113"/>
    </row>
    <row r="114" spans="1:5" x14ac:dyDescent="0.25">
      <c r="C114"/>
    </row>
    <row r="115" spans="1:5" x14ac:dyDescent="0.25">
      <c r="C115"/>
    </row>
    <row r="116" spans="1:5" x14ac:dyDescent="0.25">
      <c r="C116"/>
    </row>
    <row r="117" spans="1:5" x14ac:dyDescent="0.25">
      <c r="C117"/>
    </row>
    <row r="118" spans="1:5" x14ac:dyDescent="0.25">
      <c r="C118"/>
    </row>
    <row r="119" spans="1:5" x14ac:dyDescent="0.25">
      <c r="C119"/>
    </row>
    <row r="120" spans="1:5" x14ac:dyDescent="0.25">
      <c r="C120"/>
    </row>
    <row r="121" spans="1:5" s="29" customFormat="1" x14ac:dyDescent="0.25">
      <c r="A121"/>
      <c r="B121"/>
      <c r="C121"/>
      <c r="D121"/>
      <c r="E121"/>
    </row>
    <row r="122" spans="1:5" x14ac:dyDescent="0.25">
      <c r="C122"/>
    </row>
    <row r="123" spans="1:5" x14ac:dyDescent="0.25">
      <c r="C123"/>
    </row>
    <row r="124" spans="1:5" x14ac:dyDescent="0.25">
      <c r="C124"/>
    </row>
    <row r="125" spans="1:5" x14ac:dyDescent="0.25">
      <c r="C125"/>
    </row>
    <row r="126" spans="1:5" x14ac:dyDescent="0.25">
      <c r="C126"/>
    </row>
    <row r="127" spans="1:5" x14ac:dyDescent="0.25">
      <c r="C127"/>
    </row>
    <row r="128" spans="1:5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241" spans="1:7" s="29" customFormat="1" x14ac:dyDescent="0.25">
      <c r="A241"/>
      <c r="B241"/>
      <c r="C241" s="19"/>
      <c r="D241"/>
      <c r="E241"/>
      <c r="F241"/>
      <c r="G241"/>
    </row>
    <row r="242" spans="1:7" s="29" customFormat="1" x14ac:dyDescent="0.25">
      <c r="A242"/>
      <c r="B242"/>
      <c r="C242" s="19"/>
      <c r="D242"/>
      <c r="E242"/>
      <c r="F242"/>
      <c r="G242"/>
    </row>
    <row r="362" spans="1:7" s="29" customFormat="1" x14ac:dyDescent="0.25">
      <c r="A362"/>
      <c r="B362"/>
      <c r="C362" s="19"/>
      <c r="D362"/>
      <c r="E362"/>
      <c r="F362"/>
      <c r="G362"/>
    </row>
    <row r="363" spans="1:7" s="29" customFormat="1" x14ac:dyDescent="0.25">
      <c r="A363"/>
      <c r="B363"/>
      <c r="C363" s="19"/>
      <c r="D363"/>
      <c r="E363"/>
      <c r="F363"/>
      <c r="G363"/>
    </row>
    <row r="364" spans="1:7" s="29" customFormat="1" x14ac:dyDescent="0.25">
      <c r="A364"/>
      <c r="B364"/>
      <c r="C364" s="19"/>
      <c r="D364"/>
      <c r="E364"/>
      <c r="F364"/>
      <c r="G364"/>
    </row>
  </sheetData>
  <pageMargins left="0.7" right="0.7" top="0.75" bottom="0.75" header="0.3" footer="0.3"/>
  <pageSetup orientation="portrait" horizontalDpi="0" verticalDpi="0" r:id="rId1"/>
  <ignoredErrors>
    <ignoredError sqref="E56:F56 F2 E38:F38 F3 F4 F5:F6 F7 F8 F9 F10 F11 F12 F13 F14 F15 F16 F17 F18:F19 E39:F39 E40:F40 E41:F42 E43:F43 E44:F44 E45:F45 E46:F46 E47:F47 E48:F48 E49:F49 E50:F50 E51:F51 E52:F52 E53:F53 E54:F54 E57:F57 E58:F58 E59:F60 E61:F61 E62:F62 E63:F63 E64:F64 E65:F65 E66:F66 E67:F67 E68:F68 E69:F69 E70:F70 E71:F7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Cat!$M$2:$M$42</xm:f>
          </x14:formula1>
          <xm:sqref>B2:B72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20"/>
  <sheetViews>
    <sheetView zoomScaleNormal="100" workbookViewId="0">
      <selection activeCell="D16" sqref="D16"/>
    </sheetView>
  </sheetViews>
  <sheetFormatPr baseColWidth="10" defaultRowHeight="15" x14ac:dyDescent="0.25"/>
  <cols>
    <col min="1" max="1" width="42.42578125" bestFit="1" customWidth="1"/>
    <col min="2" max="2" width="26.5703125" bestFit="1" customWidth="1"/>
    <col min="3" max="3" width="10.140625" style="19" customWidth="1"/>
    <col min="4" max="4" width="18.85546875" bestFit="1" customWidth="1"/>
    <col min="5" max="5" width="9.7109375" customWidth="1"/>
    <col min="6" max="6" width="15.5703125" customWidth="1"/>
  </cols>
  <sheetData>
    <row r="1" spans="1:6" x14ac:dyDescent="0.25">
      <c r="A1" s="26" t="s">
        <v>6</v>
      </c>
      <c r="B1" s="26" t="s">
        <v>35</v>
      </c>
      <c r="C1" s="28" t="s">
        <v>29</v>
      </c>
      <c r="D1" s="26" t="s">
        <v>30</v>
      </c>
      <c r="E1" s="26" t="s">
        <v>21</v>
      </c>
      <c r="F1" s="2" t="s">
        <v>34</v>
      </c>
    </row>
    <row r="2" spans="1:6" x14ac:dyDescent="0.25">
      <c r="A2" s="30" t="s">
        <v>421</v>
      </c>
      <c r="B2" s="29" t="s">
        <v>144</v>
      </c>
      <c r="C2" s="44">
        <v>53</v>
      </c>
      <c r="D2" s="3" t="s">
        <v>503</v>
      </c>
      <c r="E2" s="24" t="e">
        <f>SUMIFS(#REF!,#REF!,TablaDeducciones[[#This Row],[Trabajador]])</f>
        <v>#REF!</v>
      </c>
      <c r="F2" s="5">
        <f>IF(TablaDeducciones[[#This Row],[Deducción]]="","",VLOOKUP(TablaDeducciones[[#This Row],[Deducción]],Cat!$P$1:$Q$101,2,0))</f>
        <v>4</v>
      </c>
    </row>
    <row r="3" spans="1:6" x14ac:dyDescent="0.25">
      <c r="A3" s="30" t="s">
        <v>408</v>
      </c>
      <c r="B3" s="29" t="s">
        <v>144</v>
      </c>
      <c r="C3" s="44">
        <v>53</v>
      </c>
      <c r="D3" s="3" t="s">
        <v>503</v>
      </c>
      <c r="E3" s="24" t="e">
        <f>SUMIFS(#REF!,#REF!,TablaDeducciones[[#This Row],[Trabajador]])</f>
        <v>#REF!</v>
      </c>
      <c r="F3" s="5">
        <f>IF(TablaDeducciones[[#This Row],[Deducción]]="","",VLOOKUP(TablaDeducciones[[#This Row],[Deducción]],Cat!$P$1:$Q$101,2,0))</f>
        <v>4</v>
      </c>
    </row>
    <row r="4" spans="1:6" x14ac:dyDescent="0.25">
      <c r="A4" s="30" t="s">
        <v>406</v>
      </c>
      <c r="B4" s="29" t="s">
        <v>144</v>
      </c>
      <c r="C4" s="44">
        <v>53</v>
      </c>
      <c r="D4" s="3" t="s">
        <v>503</v>
      </c>
      <c r="E4" s="24" t="e">
        <f>SUMIFS(#REF!,#REF!,TablaDeducciones[[#This Row],[Trabajador]])</f>
        <v>#REF!</v>
      </c>
      <c r="F4" s="5">
        <f>IF(TablaDeducciones[[#This Row],[Deducción]]="","",VLOOKUP(TablaDeducciones[[#This Row],[Deducción]],Cat!$P$1:$Q$101,2,0))</f>
        <v>4</v>
      </c>
    </row>
    <row r="5" spans="1:6" x14ac:dyDescent="0.25">
      <c r="A5" s="30" t="s">
        <v>411</v>
      </c>
      <c r="B5" s="29" t="s">
        <v>144</v>
      </c>
      <c r="C5" s="44">
        <v>53</v>
      </c>
      <c r="D5" s="3" t="s">
        <v>503</v>
      </c>
      <c r="E5" s="24" t="e">
        <f>SUMIFS(#REF!,#REF!,TablaDeducciones[[#This Row],[Trabajador]])</f>
        <v>#REF!</v>
      </c>
      <c r="F5" s="5">
        <f>IF(TablaDeducciones[[#This Row],[Deducción]]="","",VLOOKUP(TablaDeducciones[[#This Row],[Deducción]],Cat!$P$1:$Q$101,2,0))</f>
        <v>4</v>
      </c>
    </row>
    <row r="6" spans="1:6" x14ac:dyDescent="0.25">
      <c r="A6" s="30" t="s">
        <v>412</v>
      </c>
      <c r="B6" s="29" t="s">
        <v>144</v>
      </c>
      <c r="C6" s="44">
        <v>53</v>
      </c>
      <c r="D6" s="3" t="s">
        <v>503</v>
      </c>
      <c r="E6" s="24" t="e">
        <f>SUMIFS(#REF!,#REF!,TablaDeducciones[[#This Row],[Trabajador]])</f>
        <v>#REF!</v>
      </c>
      <c r="F6" s="5">
        <f>IF(TablaDeducciones[[#This Row],[Deducción]]="","",VLOOKUP(TablaDeducciones[[#This Row],[Deducción]],Cat!$P$1:$Q$101,2,0))</f>
        <v>4</v>
      </c>
    </row>
    <row r="7" spans="1:6" x14ac:dyDescent="0.25">
      <c r="A7" s="30" t="s">
        <v>418</v>
      </c>
      <c r="B7" s="29" t="s">
        <v>144</v>
      </c>
      <c r="C7" s="44">
        <v>53</v>
      </c>
      <c r="D7" s="3" t="s">
        <v>503</v>
      </c>
      <c r="E7" s="24" t="e">
        <f>SUMIFS(#REF!,#REF!,TablaDeducciones[[#This Row],[Trabajador]])</f>
        <v>#REF!</v>
      </c>
      <c r="F7" s="5">
        <f>IF(TablaDeducciones[[#This Row],[Deducción]]="","",VLOOKUP(TablaDeducciones[[#This Row],[Deducción]],Cat!$P$1:$Q$101,2,0))</f>
        <v>4</v>
      </c>
    </row>
    <row r="8" spans="1:6" x14ac:dyDescent="0.25">
      <c r="A8" s="30" t="s">
        <v>414</v>
      </c>
      <c r="B8" s="29" t="s">
        <v>144</v>
      </c>
      <c r="C8" s="44">
        <v>53</v>
      </c>
      <c r="D8" s="3" t="s">
        <v>503</v>
      </c>
      <c r="E8" s="24" t="e">
        <f>SUMIFS(#REF!,#REF!,TablaDeducciones[[#This Row],[Trabajador]])</f>
        <v>#REF!</v>
      </c>
      <c r="F8" s="5">
        <f>IF(TablaDeducciones[[#This Row],[Deducción]]="","",VLOOKUP(TablaDeducciones[[#This Row],[Deducción]],Cat!$P$1:$Q$101,2,0))</f>
        <v>4</v>
      </c>
    </row>
    <row r="9" spans="1:6" x14ac:dyDescent="0.25">
      <c r="A9" s="30" t="s">
        <v>409</v>
      </c>
      <c r="B9" s="29" t="s">
        <v>144</v>
      </c>
      <c r="C9" s="44">
        <v>53</v>
      </c>
      <c r="D9" s="3" t="s">
        <v>503</v>
      </c>
      <c r="E9" s="24" t="e">
        <f>SUMIFS(#REF!,#REF!,TablaDeducciones[[#This Row],[Trabajador]])</f>
        <v>#REF!</v>
      </c>
      <c r="F9" s="5">
        <f>IF(TablaDeducciones[[#This Row],[Deducción]]="","",VLOOKUP(TablaDeducciones[[#This Row],[Deducción]],Cat!$P$1:$Q$101,2,0))</f>
        <v>4</v>
      </c>
    </row>
    <row r="10" spans="1:6" x14ac:dyDescent="0.25">
      <c r="A10" s="30" t="s">
        <v>407</v>
      </c>
      <c r="B10" s="29" t="s">
        <v>144</v>
      </c>
      <c r="C10" s="44">
        <v>53</v>
      </c>
      <c r="D10" s="3" t="s">
        <v>503</v>
      </c>
      <c r="E10" s="24" t="e">
        <f>SUMIFS(#REF!,#REF!,TablaDeducciones[[#This Row],[Trabajador]])</f>
        <v>#REF!</v>
      </c>
      <c r="F10" s="5">
        <f>IF(TablaDeducciones[[#This Row],[Deducción]]="","",VLOOKUP(TablaDeducciones[[#This Row],[Deducción]],Cat!$P$1:$Q$101,2,0))</f>
        <v>4</v>
      </c>
    </row>
    <row r="11" spans="1:6" x14ac:dyDescent="0.25">
      <c r="A11" s="30" t="s">
        <v>413</v>
      </c>
      <c r="B11" s="29" t="s">
        <v>144</v>
      </c>
      <c r="C11" s="44">
        <v>53</v>
      </c>
      <c r="D11" s="3" t="s">
        <v>503</v>
      </c>
      <c r="E11" s="24" t="e">
        <f>SUMIFS(#REF!,#REF!,TablaDeducciones[[#This Row],[Trabajador]])</f>
        <v>#REF!</v>
      </c>
      <c r="F11" s="5">
        <f>IF(TablaDeducciones[[#This Row],[Deducción]]="","",VLOOKUP(TablaDeducciones[[#This Row],[Deducción]],Cat!$P$1:$Q$101,2,0))</f>
        <v>4</v>
      </c>
    </row>
    <row r="12" spans="1:6" x14ac:dyDescent="0.25">
      <c r="A12" s="30" t="s">
        <v>410</v>
      </c>
      <c r="B12" s="29" t="s">
        <v>144</v>
      </c>
      <c r="C12" s="44">
        <v>53</v>
      </c>
      <c r="D12" s="3" t="s">
        <v>503</v>
      </c>
      <c r="E12" s="24" t="e">
        <f>SUMIFS(#REF!,#REF!,TablaDeducciones[[#This Row],[Trabajador]])</f>
        <v>#REF!</v>
      </c>
      <c r="F12" s="5">
        <f>IF(TablaDeducciones[[#This Row],[Deducción]]="","",VLOOKUP(TablaDeducciones[[#This Row],[Deducción]],Cat!$P$1:$Q$101,2,0))</f>
        <v>4</v>
      </c>
    </row>
    <row r="13" spans="1:6" x14ac:dyDescent="0.25">
      <c r="A13" s="30" t="s">
        <v>415</v>
      </c>
      <c r="B13" s="29" t="s">
        <v>144</v>
      </c>
      <c r="C13" s="44">
        <v>53</v>
      </c>
      <c r="D13" s="3" t="s">
        <v>503</v>
      </c>
      <c r="E13" s="24" t="e">
        <f>SUMIFS(#REF!,#REF!,TablaDeducciones[[#This Row],[Trabajador]])</f>
        <v>#REF!</v>
      </c>
      <c r="F13" s="5">
        <f>IF(TablaDeducciones[[#This Row],[Deducción]]="","",VLOOKUP(TablaDeducciones[[#This Row],[Deducción]],Cat!$P$1:$Q$101,2,0))</f>
        <v>4</v>
      </c>
    </row>
    <row r="14" spans="1:6" x14ac:dyDescent="0.25">
      <c r="A14" s="30" t="s">
        <v>422</v>
      </c>
      <c r="B14" s="29" t="s">
        <v>144</v>
      </c>
      <c r="C14" s="44">
        <v>53</v>
      </c>
      <c r="D14" s="3" t="s">
        <v>503</v>
      </c>
      <c r="E14" s="24" t="e">
        <f>SUMIFS(#REF!,#REF!,TablaDeducciones[[#This Row],[Trabajador]])</f>
        <v>#REF!</v>
      </c>
      <c r="F14" s="5">
        <f>IF(TablaDeducciones[[#This Row],[Deducción]]="","",VLOOKUP(TablaDeducciones[[#This Row],[Deducción]],Cat!$P$1:$Q$101,2,0))</f>
        <v>4</v>
      </c>
    </row>
    <row r="15" spans="1:6" x14ac:dyDescent="0.25">
      <c r="A15" s="30" t="s">
        <v>421</v>
      </c>
      <c r="B15" s="29" t="s">
        <v>151</v>
      </c>
      <c r="C15" s="44">
        <v>55</v>
      </c>
      <c r="D15" s="3" t="s">
        <v>404</v>
      </c>
      <c r="E15" s="24" t="e">
        <f>SUMIFS(#REF!,#REF!,TablaDeducciones[[#This Row],[Trabajador]])</f>
        <v>#REF!</v>
      </c>
      <c r="F15" s="5">
        <f>IF(TablaDeducciones[[#This Row],[Deducción]]="","",VLOOKUP(TablaDeducciones[[#This Row],[Deducción]],Cat!$P$1:$Q$101,2,0))</f>
        <v>11</v>
      </c>
    </row>
    <row r="16" spans="1:6" x14ac:dyDescent="0.25">
      <c r="A16" s="30" t="s">
        <v>411</v>
      </c>
      <c r="B16" s="29" t="s">
        <v>151</v>
      </c>
      <c r="C16" s="44">
        <v>55</v>
      </c>
      <c r="D16" s="3" t="s">
        <v>404</v>
      </c>
      <c r="E16" s="24" t="e">
        <f>SUMIFS(#REF!,#REF!,TablaDeducciones[[#This Row],[Trabajador]])</f>
        <v>#REF!</v>
      </c>
      <c r="F16" s="5">
        <f>IF(TablaDeducciones[[#This Row],[Deducción]]="","",VLOOKUP(TablaDeducciones[[#This Row],[Deducción]],Cat!$P$1:$Q$101,2,0))</f>
        <v>11</v>
      </c>
    </row>
    <row r="17" spans="1:6" x14ac:dyDescent="0.25">
      <c r="A17" s="30" t="s">
        <v>414</v>
      </c>
      <c r="B17" s="29" t="s">
        <v>151</v>
      </c>
      <c r="C17" s="44">
        <v>55</v>
      </c>
      <c r="D17" s="3" t="s">
        <v>404</v>
      </c>
      <c r="E17" s="24" t="e">
        <f>SUMIFS(#REF!,#REF!,TablaDeducciones[[#This Row],[Trabajador]])</f>
        <v>#REF!</v>
      </c>
      <c r="F17" s="5">
        <f>IF(TablaDeducciones[[#This Row],[Deducción]]="","",VLOOKUP(TablaDeducciones[[#This Row],[Deducción]],Cat!$P$1:$Q$101,2,0))</f>
        <v>11</v>
      </c>
    </row>
    <row r="18" spans="1:6" x14ac:dyDescent="0.25">
      <c r="A18" s="30" t="s">
        <v>410</v>
      </c>
      <c r="B18" s="29" t="s">
        <v>151</v>
      </c>
      <c r="C18" s="44">
        <v>55</v>
      </c>
      <c r="D18" s="3" t="s">
        <v>404</v>
      </c>
      <c r="E18" s="24" t="e">
        <f>SUMIFS(#REF!,#REF!,TablaDeducciones[[#This Row],[Trabajador]])</f>
        <v>#REF!</v>
      </c>
      <c r="F18" s="5">
        <f>IF(TablaDeducciones[[#This Row],[Deducción]]="","",VLOOKUP(TablaDeducciones[[#This Row],[Deducción]],Cat!$P$1:$Q$101,2,0))</f>
        <v>11</v>
      </c>
    </row>
    <row r="19" spans="1:6" x14ac:dyDescent="0.25">
      <c r="A19" s="30" t="s">
        <v>419</v>
      </c>
      <c r="B19" s="29" t="s">
        <v>151</v>
      </c>
      <c r="C19" s="44">
        <v>55</v>
      </c>
      <c r="D19" s="3" t="s">
        <v>404</v>
      </c>
      <c r="E19" s="24" t="e">
        <f>SUMIFS(#REF!,#REF!,TablaDeducciones[[#This Row],[Trabajador]])</f>
        <v>#REF!</v>
      </c>
      <c r="F19" s="5">
        <f>IF(TablaDeducciones[[#This Row],[Deducción]]="","",VLOOKUP(TablaDeducciones[[#This Row],[Deducción]],Cat!$P$1:$Q$101,2,0))</f>
        <v>11</v>
      </c>
    </row>
    <row r="20" spans="1:6" x14ac:dyDescent="0.25">
      <c r="A20" s="30" t="s">
        <v>414</v>
      </c>
      <c r="B20" s="29" t="s">
        <v>150</v>
      </c>
      <c r="C20" s="44">
        <v>57</v>
      </c>
      <c r="D20" s="3" t="s">
        <v>405</v>
      </c>
      <c r="E20" s="24" t="e">
        <f>SUMIFS(#REF!,#REF!,TablaDeducciones[[#This Row],[Trabajador]])</f>
        <v>#REF!</v>
      </c>
      <c r="F20" s="5">
        <f>IF(TablaDeducciones[[#This Row],[Deducción]]="","",VLOOKUP(TablaDeducciones[[#This Row],[Deducción]],Cat!$P$1:$Q$101,2,0))</f>
        <v>10</v>
      </c>
    </row>
  </sheetData>
  <pageMargins left="0.7" right="0.7" top="0.75" bottom="0.75" header="0.3" footer="0.3"/>
  <pageSetup orientation="portrait" r:id="rId1"/>
  <ignoredErrors>
    <ignoredError sqref="E15 E20 E16 E17 E18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Cat!$P$2:$P$101</xm:f>
          </x14:formula1>
          <xm:sqref>B2:B20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F2"/>
  <sheetViews>
    <sheetView workbookViewId="0">
      <selection activeCell="E42" sqref="E42"/>
    </sheetView>
  </sheetViews>
  <sheetFormatPr baseColWidth="10" defaultRowHeight="15" x14ac:dyDescent="0.25"/>
  <cols>
    <col min="1" max="1" width="29.5703125" bestFit="1" customWidth="1"/>
    <col min="2" max="2" width="7" bestFit="1" customWidth="1"/>
    <col min="3" max="3" width="15.28515625" bestFit="1" customWidth="1"/>
    <col min="4" max="4" width="13.140625" bestFit="1" customWidth="1"/>
    <col min="5" max="5" width="17.28515625" bestFit="1" customWidth="1"/>
    <col min="6" max="6" width="20.7109375" hidden="1" customWidth="1"/>
  </cols>
  <sheetData>
    <row r="1" spans="1:6" x14ac:dyDescent="0.25">
      <c r="A1" s="26" t="s">
        <v>6</v>
      </c>
      <c r="B1" s="26" t="s">
        <v>36</v>
      </c>
      <c r="C1" s="26" t="s">
        <v>37</v>
      </c>
      <c r="D1" s="26" t="s">
        <v>38</v>
      </c>
      <c r="E1" s="26" t="s">
        <v>39</v>
      </c>
      <c r="F1" s="4" t="s">
        <v>269</v>
      </c>
    </row>
    <row r="2" spans="1:6" ht="14.45" x14ac:dyDescent="0.3">
      <c r="F2" s="8" t="str">
        <f>IF(TablaHorasExtra[Tipo de Horas]="","",VLOOKUP(TablaHorasExtra[Tipo de Horas],Cat!$S$1:$T$4,2,0))</f>
        <v/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Cat!$S$2:$S$4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G19"/>
  <sheetViews>
    <sheetView workbookViewId="0">
      <selection activeCell="B26" sqref="B26"/>
    </sheetView>
  </sheetViews>
  <sheetFormatPr baseColWidth="10" defaultRowHeight="15" x14ac:dyDescent="0.25"/>
  <cols>
    <col min="1" max="1" width="42.42578125" bestFit="1" customWidth="1"/>
    <col min="2" max="2" width="60.140625" bestFit="1" customWidth="1"/>
    <col min="3" max="3" width="8.140625" bestFit="1" customWidth="1"/>
    <col min="4" max="4" width="11.7109375" bestFit="1" customWidth="1"/>
    <col min="5" max="5" width="10.42578125" bestFit="1" customWidth="1"/>
    <col min="6" max="6" width="27.28515625" hidden="1" customWidth="1"/>
  </cols>
  <sheetData>
    <row r="1" spans="1:7" x14ac:dyDescent="0.25">
      <c r="A1" s="26" t="s">
        <v>6</v>
      </c>
      <c r="B1" s="26" t="s">
        <v>40</v>
      </c>
      <c r="C1" s="26" t="s">
        <v>29</v>
      </c>
      <c r="D1" s="26" t="s">
        <v>30</v>
      </c>
      <c r="E1" s="26" t="s">
        <v>21</v>
      </c>
      <c r="F1" s="4" t="s">
        <v>41</v>
      </c>
      <c r="G1" t="s">
        <v>402</v>
      </c>
    </row>
    <row r="2" spans="1:7" x14ac:dyDescent="0.25">
      <c r="A2" s="30" t="s">
        <v>421</v>
      </c>
      <c r="B2" s="3" t="s">
        <v>261</v>
      </c>
      <c r="C2" s="3">
        <v>42</v>
      </c>
      <c r="D2" s="3" t="s">
        <v>497</v>
      </c>
      <c r="E2" s="29" t="e">
        <f>SUMIFS(#REF!,#REF!,TablaOtrosPagos[[#This Row],[Trabajador]])</f>
        <v>#REF!</v>
      </c>
      <c r="F2" s="10">
        <f>IF(TablaOtrosPagos[[#This Row],[Tipo de Otro Pago]]="","",VLOOKUP(TablaOtrosPagos[[#This Row],[Tipo de Otro Pago]],Cat!$V$1:$W$6,2,0))</f>
        <v>2</v>
      </c>
      <c r="G2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3" spans="1:7" x14ac:dyDescent="0.25">
      <c r="A3" s="30" t="s">
        <v>420</v>
      </c>
      <c r="B3" s="3" t="s">
        <v>261</v>
      </c>
      <c r="C3" s="3">
        <v>42</v>
      </c>
      <c r="D3" s="3" t="s">
        <v>497</v>
      </c>
      <c r="E3" s="29" t="e">
        <f>SUMIFS(#REF!,#REF!,TablaOtrosPagos[[#This Row],[Trabajador]])</f>
        <v>#REF!</v>
      </c>
      <c r="F3" s="10">
        <f>IF(TablaOtrosPagos[[#This Row],[Tipo de Otro Pago]]="","",VLOOKUP(TablaOtrosPagos[[#This Row],[Tipo de Otro Pago]],Cat!$V$1:$W$6,2,0))</f>
        <v>2</v>
      </c>
      <c r="G3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4" spans="1:7" x14ac:dyDescent="0.25">
      <c r="A4" s="30" t="s">
        <v>408</v>
      </c>
      <c r="B4" s="3" t="s">
        <v>261</v>
      </c>
      <c r="C4" s="3">
        <v>42</v>
      </c>
      <c r="D4" s="3" t="s">
        <v>497</v>
      </c>
      <c r="E4" s="29" t="e">
        <f>SUMIFS(#REF!,#REF!,TablaOtrosPagos[[#This Row],[Trabajador]])</f>
        <v>#REF!</v>
      </c>
      <c r="F4" s="10">
        <f>IF(TablaOtrosPagos[[#This Row],[Tipo de Otro Pago]]="","",VLOOKUP(TablaOtrosPagos[[#This Row],[Tipo de Otro Pago]],Cat!$V$1:$W$6,2,0))</f>
        <v>2</v>
      </c>
      <c r="G4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5" spans="1:7" x14ac:dyDescent="0.25">
      <c r="A5" s="30" t="s">
        <v>406</v>
      </c>
      <c r="B5" s="3" t="s">
        <v>261</v>
      </c>
      <c r="C5" s="3">
        <v>42</v>
      </c>
      <c r="D5" s="3" t="s">
        <v>497</v>
      </c>
      <c r="E5" s="29" t="e">
        <f>SUMIFS(#REF!,#REF!,TablaOtrosPagos[[#This Row],[Trabajador]])</f>
        <v>#REF!</v>
      </c>
      <c r="F5" s="10">
        <f>IF(TablaOtrosPagos[[#This Row],[Tipo de Otro Pago]]="","",VLOOKUP(TablaOtrosPagos[[#This Row],[Tipo de Otro Pago]],Cat!$V$1:$W$6,2,0))</f>
        <v>2</v>
      </c>
      <c r="G5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6" spans="1:7" x14ac:dyDescent="0.25">
      <c r="A6" s="30" t="s">
        <v>411</v>
      </c>
      <c r="B6" s="3" t="s">
        <v>261</v>
      </c>
      <c r="C6" s="3">
        <v>42</v>
      </c>
      <c r="D6" s="3" t="s">
        <v>497</v>
      </c>
      <c r="E6" s="29" t="e">
        <f>SUMIFS(#REF!,#REF!,TablaOtrosPagos[[#This Row],[Trabajador]])</f>
        <v>#REF!</v>
      </c>
      <c r="F6" s="10">
        <f>IF(TablaOtrosPagos[[#This Row],[Tipo de Otro Pago]]="","",VLOOKUP(TablaOtrosPagos[[#This Row],[Tipo de Otro Pago]],Cat!$V$1:$W$6,2,0))</f>
        <v>2</v>
      </c>
      <c r="G6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7" spans="1:7" x14ac:dyDescent="0.25">
      <c r="A7" s="30" t="s">
        <v>412</v>
      </c>
      <c r="B7" s="3" t="s">
        <v>261</v>
      </c>
      <c r="C7" s="3">
        <v>42</v>
      </c>
      <c r="D7" s="3" t="s">
        <v>497</v>
      </c>
      <c r="E7" s="29" t="e">
        <f>SUMIFS(#REF!,#REF!,TablaOtrosPagos[[#This Row],[Trabajador]])</f>
        <v>#REF!</v>
      </c>
      <c r="F7" s="10">
        <f>IF(TablaOtrosPagos[[#This Row],[Tipo de Otro Pago]]="","",VLOOKUP(TablaOtrosPagos[[#This Row],[Tipo de Otro Pago]],Cat!$V$1:$W$6,2,0))</f>
        <v>2</v>
      </c>
      <c r="G7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8" spans="1:7" x14ac:dyDescent="0.25">
      <c r="A8" s="30" t="s">
        <v>418</v>
      </c>
      <c r="B8" s="3" t="s">
        <v>261</v>
      </c>
      <c r="C8" s="3">
        <v>42</v>
      </c>
      <c r="D8" s="3" t="s">
        <v>497</v>
      </c>
      <c r="E8" s="29" t="e">
        <f>SUMIFS(#REF!,#REF!,TablaOtrosPagos[[#This Row],[Trabajador]])</f>
        <v>#REF!</v>
      </c>
      <c r="F8" s="10">
        <f>IF(TablaOtrosPagos[[#This Row],[Tipo de Otro Pago]]="","",VLOOKUP(TablaOtrosPagos[[#This Row],[Tipo de Otro Pago]],Cat!$V$1:$W$6,2,0))</f>
        <v>2</v>
      </c>
      <c r="G8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9" spans="1:7" x14ac:dyDescent="0.25">
      <c r="A9" s="30" t="s">
        <v>414</v>
      </c>
      <c r="B9" s="3" t="s">
        <v>261</v>
      </c>
      <c r="C9" s="3">
        <v>42</v>
      </c>
      <c r="D9" s="3" t="s">
        <v>497</v>
      </c>
      <c r="E9" s="29" t="e">
        <f>SUMIFS(#REF!,#REF!,TablaOtrosPagos[[#This Row],[Trabajador]])</f>
        <v>#REF!</v>
      </c>
      <c r="F9" s="10">
        <f>IF(TablaOtrosPagos[[#This Row],[Tipo de Otro Pago]]="","",VLOOKUP(TablaOtrosPagos[[#This Row],[Tipo de Otro Pago]],Cat!$V$1:$W$6,2,0))</f>
        <v>2</v>
      </c>
      <c r="G9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0" spans="1:7" x14ac:dyDescent="0.25">
      <c r="A10" s="30" t="s">
        <v>409</v>
      </c>
      <c r="B10" s="3" t="s">
        <v>261</v>
      </c>
      <c r="C10" s="3">
        <v>42</v>
      </c>
      <c r="D10" s="3" t="s">
        <v>497</v>
      </c>
      <c r="E10" s="29" t="e">
        <f>SUMIFS(#REF!,#REF!,TablaOtrosPagos[[#This Row],[Trabajador]])</f>
        <v>#REF!</v>
      </c>
      <c r="F10" s="10">
        <f>IF(TablaOtrosPagos[[#This Row],[Tipo de Otro Pago]]="","",VLOOKUP(TablaOtrosPagos[[#This Row],[Tipo de Otro Pago]],Cat!$V$1:$W$6,2,0))</f>
        <v>2</v>
      </c>
      <c r="G10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1" spans="1:7" x14ac:dyDescent="0.25">
      <c r="A11" s="30" t="s">
        <v>416</v>
      </c>
      <c r="B11" s="3" t="s">
        <v>261</v>
      </c>
      <c r="C11" s="3">
        <v>42</v>
      </c>
      <c r="D11" s="3" t="s">
        <v>497</v>
      </c>
      <c r="E11" s="29" t="e">
        <f>SUMIFS(#REF!,#REF!,TablaOtrosPagos[[#This Row],[Trabajador]])</f>
        <v>#REF!</v>
      </c>
      <c r="F11" s="10">
        <f>IF(TablaOtrosPagos[[#This Row],[Tipo de Otro Pago]]="","",VLOOKUP(TablaOtrosPagos[[#This Row],[Tipo de Otro Pago]],Cat!$V$1:$W$6,2,0))</f>
        <v>2</v>
      </c>
      <c r="G11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2" spans="1:7" x14ac:dyDescent="0.25">
      <c r="A12" s="30" t="s">
        <v>407</v>
      </c>
      <c r="B12" s="3" t="s">
        <v>261</v>
      </c>
      <c r="C12" s="3">
        <v>42</v>
      </c>
      <c r="D12" s="3" t="s">
        <v>497</v>
      </c>
      <c r="E12" s="29" t="e">
        <f>SUMIFS(#REF!,#REF!,TablaOtrosPagos[[#This Row],[Trabajador]])</f>
        <v>#REF!</v>
      </c>
      <c r="F12" s="10">
        <f>IF(TablaOtrosPagos[[#This Row],[Tipo de Otro Pago]]="","",VLOOKUP(TablaOtrosPagos[[#This Row],[Tipo de Otro Pago]],Cat!$V$1:$W$6,2,0))</f>
        <v>2</v>
      </c>
      <c r="G12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3" spans="1:7" x14ac:dyDescent="0.25">
      <c r="A13" s="30" t="s">
        <v>505</v>
      </c>
      <c r="B13" s="3" t="s">
        <v>261</v>
      </c>
      <c r="C13" s="3">
        <v>42</v>
      </c>
      <c r="D13" s="3" t="s">
        <v>497</v>
      </c>
      <c r="E13" s="29" t="e">
        <f>SUMIFS(#REF!,#REF!,TablaOtrosPagos[[#This Row],[Trabajador]])</f>
        <v>#REF!</v>
      </c>
      <c r="F13" s="10">
        <f>IF(TablaOtrosPagos[[#This Row],[Tipo de Otro Pago]]="","",VLOOKUP(TablaOtrosPagos[[#This Row],[Tipo de Otro Pago]],Cat!$V$1:$W$6,2,0))</f>
        <v>2</v>
      </c>
      <c r="G13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4" spans="1:7" x14ac:dyDescent="0.25">
      <c r="A14" s="30" t="s">
        <v>413</v>
      </c>
      <c r="B14" s="3" t="s">
        <v>261</v>
      </c>
      <c r="C14" s="3">
        <v>42</v>
      </c>
      <c r="D14" s="3" t="s">
        <v>497</v>
      </c>
      <c r="E14" s="29" t="e">
        <f>SUMIFS(#REF!,#REF!,TablaOtrosPagos[[#This Row],[Trabajador]])</f>
        <v>#REF!</v>
      </c>
      <c r="F14" s="10">
        <f>IF(TablaOtrosPagos[[#This Row],[Tipo de Otro Pago]]="","",VLOOKUP(TablaOtrosPagos[[#This Row],[Tipo de Otro Pago]],Cat!$V$1:$W$6,2,0))</f>
        <v>2</v>
      </c>
      <c r="G14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5" spans="1:7" x14ac:dyDescent="0.25">
      <c r="A15" s="30" t="s">
        <v>410</v>
      </c>
      <c r="B15" s="3" t="s">
        <v>261</v>
      </c>
      <c r="C15" s="3">
        <v>42</v>
      </c>
      <c r="D15" s="3" t="s">
        <v>497</v>
      </c>
      <c r="E15" s="29" t="e">
        <f>SUMIFS(#REF!,#REF!,TablaOtrosPagos[[#This Row],[Trabajador]])</f>
        <v>#REF!</v>
      </c>
      <c r="F15" s="10">
        <f>IF(TablaOtrosPagos[[#This Row],[Tipo de Otro Pago]]="","",VLOOKUP(TablaOtrosPagos[[#This Row],[Tipo de Otro Pago]],Cat!$V$1:$W$6,2,0))</f>
        <v>2</v>
      </c>
      <c r="G15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6" spans="1:7" x14ac:dyDescent="0.25">
      <c r="A16" s="30" t="s">
        <v>415</v>
      </c>
      <c r="B16" s="3" t="s">
        <v>261</v>
      </c>
      <c r="C16" s="3">
        <v>42</v>
      </c>
      <c r="D16" s="3" t="s">
        <v>497</v>
      </c>
      <c r="E16" s="29" t="e">
        <f>SUMIFS(#REF!,#REF!,TablaOtrosPagos[[#This Row],[Trabajador]])</f>
        <v>#REF!</v>
      </c>
      <c r="F16" s="10">
        <f>IF(TablaOtrosPagos[[#This Row],[Tipo de Otro Pago]]="","",VLOOKUP(TablaOtrosPagos[[#This Row],[Tipo de Otro Pago]],Cat!$V$1:$W$6,2,0))</f>
        <v>2</v>
      </c>
      <c r="G16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7" spans="1:7" x14ac:dyDescent="0.25">
      <c r="A17" s="30" t="s">
        <v>417</v>
      </c>
      <c r="B17" s="3" t="s">
        <v>261</v>
      </c>
      <c r="C17" s="3">
        <v>42</v>
      </c>
      <c r="D17" s="3" t="s">
        <v>497</v>
      </c>
      <c r="E17" s="29" t="e">
        <f>SUMIFS(#REF!,#REF!,TablaOtrosPagos[[#This Row],[Trabajador]])</f>
        <v>#REF!</v>
      </c>
      <c r="F17" s="10">
        <f>IF(TablaOtrosPagos[[#This Row],[Tipo de Otro Pago]]="","",VLOOKUP(TablaOtrosPagos[[#This Row],[Tipo de Otro Pago]],Cat!$V$1:$W$6,2,0))</f>
        <v>2</v>
      </c>
      <c r="G17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8" spans="1:7" x14ac:dyDescent="0.25">
      <c r="A18" s="30" t="s">
        <v>422</v>
      </c>
      <c r="B18" s="3" t="s">
        <v>261</v>
      </c>
      <c r="C18" s="3">
        <v>42</v>
      </c>
      <c r="D18" s="3" t="s">
        <v>497</v>
      </c>
      <c r="E18" s="29" t="e">
        <f>SUMIFS(#REF!,#REF!,TablaOtrosPagos[[#This Row],[Trabajador]])</f>
        <v>#REF!</v>
      </c>
      <c r="F18" s="10">
        <f>IF(TablaOtrosPagos[[#This Row],[Tipo de Otro Pago]]="","",VLOOKUP(TablaOtrosPagos[[#This Row],[Tipo de Otro Pago]],Cat!$V$1:$W$6,2,0))</f>
        <v>2</v>
      </c>
      <c r="G18" s="29" t="e">
        <f>LOOKUP(INDEX(TablaTrabajadores[Total Gravado],MATCH(TablaOtrosPagos[[#This Row],[Trabajador]],TablaTrabajadores[Nombre Trabajador],0)),'tablas isr art. 96'!$B$10:$B$20,'tablas isr art. 96'!$D$10:$D$20)</f>
        <v>#REF!</v>
      </c>
    </row>
    <row r="19" spans="1:7" x14ac:dyDescent="0.25">
      <c r="A19" s="30" t="s">
        <v>419</v>
      </c>
      <c r="B19" s="3" t="s">
        <v>261</v>
      </c>
      <c r="C19" s="3">
        <v>42</v>
      </c>
      <c r="D19" s="3" t="s">
        <v>497</v>
      </c>
      <c r="E19" s="29" t="e">
        <f>SUMIFS(#REF!,#REF!,TablaOtrosPagos[[#This Row],[Trabajador]])</f>
        <v>#REF!</v>
      </c>
      <c r="F19" s="10">
        <f>IF(TablaOtrosPagos[[#This Row],[Tipo de Otro Pago]]="","",VLOOKUP(TablaOtrosPagos[[#This Row],[Tipo de Otro Pago]],Cat!$V$1:$W$6,2,0))</f>
        <v>2</v>
      </c>
      <c r="G19" s="29" t="e">
        <f>LOOKUP(INDEX(TablaTrabajadores[Total Gravado],MATCH(TablaOtrosPagos[[#This Row],[Trabajador]],TablaTrabajadores[Nombre Trabajador],0)),'tablas isr art. 96'!$B$10:$B$20,'tablas isr art. 96'!$D$10:$D$20)</f>
        <v>#REF!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'\\dell02\UAA\TIMBRADO NOMINA\2020\12_Timbrado Diciembre 2020\Mes completo\CONFIANZA\[NNS CANAL 10 CONFIANZA MES COMPLETO DICIEMBRE.xlsm]Cat'!#REF!</xm:f>
          </x14:formula1>
          <xm:sqref>B2:B19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L101"/>
  <sheetViews>
    <sheetView tabSelected="1" zoomScale="85" zoomScaleNormal="85" workbookViewId="0">
      <selection activeCell="F8" sqref="F8"/>
    </sheetView>
  </sheetViews>
  <sheetFormatPr baseColWidth="10" defaultColWidth="11.42578125" defaultRowHeight="15" x14ac:dyDescent="0.25"/>
  <cols>
    <col min="1" max="1" width="22.140625" style="20" bestFit="1" customWidth="1"/>
    <col min="2" max="2" width="12.28515625" style="20" bestFit="1" customWidth="1"/>
    <col min="3" max="3" width="11.42578125" style="20"/>
    <col min="4" max="4" width="17.28515625" style="21" bestFit="1" customWidth="1"/>
    <col min="5" max="5" width="20" style="21" bestFit="1" customWidth="1"/>
    <col min="6" max="6" width="11.42578125" style="20"/>
    <col min="7" max="7" width="62" style="21" bestFit="1" customWidth="1"/>
    <col min="8" max="8" width="15.28515625" style="21" bestFit="1" customWidth="1"/>
    <col min="9" max="9" width="11.42578125" style="20"/>
    <col min="10" max="10" width="58.140625" style="21" bestFit="1" customWidth="1"/>
    <col min="11" max="11" width="16" style="21" bestFit="1" customWidth="1"/>
    <col min="12" max="12" width="11.42578125" style="20"/>
    <col min="13" max="13" width="59.85546875" style="21" bestFit="1" customWidth="1"/>
    <col min="14" max="14" width="18" style="21" bestFit="1" customWidth="1"/>
    <col min="15" max="15" width="11.42578125" style="20"/>
    <col min="16" max="16" width="92.85546875" style="21" bestFit="1" customWidth="1"/>
    <col min="17" max="17" width="17.42578125" style="21" bestFit="1" customWidth="1"/>
    <col min="18" max="18" width="11.42578125" style="20"/>
    <col min="19" max="19" width="12.28515625" style="21" bestFit="1" customWidth="1"/>
    <col min="20" max="20" width="13.140625" style="21" bestFit="1" customWidth="1"/>
    <col min="21" max="21" width="11.42578125" style="21"/>
    <col min="22" max="22" width="114.42578125" style="21" bestFit="1" customWidth="1"/>
    <col min="23" max="23" width="17" style="21" bestFit="1" customWidth="1"/>
    <col min="24" max="24" width="11.42578125" style="20"/>
    <col min="25" max="25" width="17.5703125" style="20" bestFit="1" customWidth="1"/>
    <col min="26" max="26" width="16.42578125" style="20" bestFit="1" customWidth="1"/>
    <col min="27" max="27" width="11.42578125" style="20"/>
    <col min="28" max="28" width="19" style="20" bestFit="1" customWidth="1"/>
    <col min="29" max="29" width="9.28515625" style="20" bestFit="1" customWidth="1"/>
    <col min="30" max="30" width="6.85546875" style="20" bestFit="1" customWidth="1"/>
    <col min="31" max="31" width="11.42578125" style="20"/>
    <col min="32" max="32" width="48.140625" style="20" customWidth="1"/>
    <col min="33" max="33" width="16.85546875" style="20" customWidth="1"/>
    <col min="34" max="37" width="11.42578125" style="20"/>
    <col min="38" max="38" width="16.42578125" style="22" customWidth="1"/>
    <col min="39" max="16384" width="11.42578125" style="20"/>
  </cols>
  <sheetData>
    <row r="1" spans="1:38" x14ac:dyDescent="0.25">
      <c r="A1" s="70" t="s">
        <v>2</v>
      </c>
      <c r="B1" s="70" t="s">
        <v>67</v>
      </c>
      <c r="D1" s="71" t="s">
        <v>67</v>
      </c>
      <c r="E1" s="72" t="s">
        <v>66</v>
      </c>
      <c r="G1" s="71" t="s">
        <v>67</v>
      </c>
      <c r="H1" s="71" t="s">
        <v>70</v>
      </c>
      <c r="J1" s="71" t="s">
        <v>67</v>
      </c>
      <c r="K1" s="71" t="s">
        <v>82</v>
      </c>
      <c r="M1" s="71" t="s">
        <v>67</v>
      </c>
      <c r="N1" s="76" t="s">
        <v>96</v>
      </c>
      <c r="P1" s="71" t="s">
        <v>67</v>
      </c>
      <c r="Q1" s="71" t="s">
        <v>140</v>
      </c>
      <c r="S1" s="71" t="s">
        <v>67</v>
      </c>
      <c r="T1" s="71" t="s">
        <v>265</v>
      </c>
      <c r="U1" s="6"/>
      <c r="V1" s="71" t="s">
        <v>67</v>
      </c>
      <c r="W1" s="71" t="s">
        <v>259</v>
      </c>
      <c r="Y1" s="84" t="s">
        <v>67</v>
      </c>
      <c r="Z1" s="84" t="s">
        <v>279</v>
      </c>
      <c r="AB1" s="84" t="s">
        <v>291</v>
      </c>
      <c r="AC1" s="84" t="s">
        <v>289</v>
      </c>
      <c r="AD1" s="84" t="s">
        <v>290</v>
      </c>
      <c r="AF1" s="84" t="s">
        <v>67</v>
      </c>
      <c r="AG1" s="84" t="s">
        <v>360</v>
      </c>
      <c r="AI1" s="84" t="s">
        <v>385</v>
      </c>
      <c r="AK1" s="84" t="s">
        <v>67</v>
      </c>
      <c r="AL1" s="85" t="s">
        <v>387</v>
      </c>
    </row>
    <row r="2" spans="1:38" x14ac:dyDescent="0.25">
      <c r="A2" s="70" t="s">
        <v>53</v>
      </c>
      <c r="B2" s="70" t="s">
        <v>51</v>
      </c>
      <c r="D2" s="73" t="s">
        <v>55</v>
      </c>
      <c r="E2" s="74">
        <v>1</v>
      </c>
      <c r="G2" s="73" t="s">
        <v>71</v>
      </c>
      <c r="H2" s="74">
        <v>1</v>
      </c>
      <c r="J2" s="73" t="s">
        <v>83</v>
      </c>
      <c r="K2" s="74">
        <v>2</v>
      </c>
      <c r="M2" s="73" t="s">
        <v>97</v>
      </c>
      <c r="N2" s="77">
        <v>1</v>
      </c>
      <c r="P2" s="73" t="s">
        <v>141</v>
      </c>
      <c r="Q2" s="77">
        <v>1</v>
      </c>
      <c r="S2" s="73" t="s">
        <v>266</v>
      </c>
      <c r="T2" s="74">
        <v>1</v>
      </c>
      <c r="U2" s="7"/>
      <c r="V2" s="73" t="s">
        <v>260</v>
      </c>
      <c r="W2" s="77">
        <v>1</v>
      </c>
      <c r="Y2" s="84" t="s">
        <v>283</v>
      </c>
      <c r="Z2" s="84" t="s">
        <v>280</v>
      </c>
      <c r="AB2" s="84" t="s">
        <v>294</v>
      </c>
      <c r="AC2" s="84" t="s">
        <v>292</v>
      </c>
      <c r="AD2" s="84" t="s">
        <v>293</v>
      </c>
      <c r="AF2" s="84" t="s">
        <v>361</v>
      </c>
      <c r="AG2" s="84">
        <v>601</v>
      </c>
      <c r="AI2" s="84" t="s">
        <v>383</v>
      </c>
      <c r="AK2" s="84" t="s">
        <v>388</v>
      </c>
      <c r="AL2" s="85">
        <v>1</v>
      </c>
    </row>
    <row r="3" spans="1:38" x14ac:dyDescent="0.25">
      <c r="A3" s="70" t="s">
        <v>54</v>
      </c>
      <c r="B3" s="70" t="s">
        <v>52</v>
      </c>
      <c r="D3" s="73" t="s">
        <v>56</v>
      </c>
      <c r="E3" s="74">
        <v>2</v>
      </c>
      <c r="G3" s="73" t="s">
        <v>72</v>
      </c>
      <c r="H3" s="74">
        <v>2</v>
      </c>
      <c r="J3" s="73" t="s">
        <v>84</v>
      </c>
      <c r="K3" s="74">
        <v>3</v>
      </c>
      <c r="M3" s="73" t="s">
        <v>98</v>
      </c>
      <c r="N3" s="77">
        <v>2</v>
      </c>
      <c r="P3" s="73" t="s">
        <v>142</v>
      </c>
      <c r="Q3" s="77">
        <v>2</v>
      </c>
      <c r="S3" s="73" t="s">
        <v>267</v>
      </c>
      <c r="T3" s="74">
        <v>2</v>
      </c>
      <c r="U3" s="7"/>
      <c r="V3" s="73" t="s">
        <v>261</v>
      </c>
      <c r="W3" s="77">
        <v>2</v>
      </c>
      <c r="Y3" s="84" t="s">
        <v>284</v>
      </c>
      <c r="Z3" s="84" t="s">
        <v>281</v>
      </c>
      <c r="AB3" s="84" t="s">
        <v>296</v>
      </c>
      <c r="AC3" s="84" t="s">
        <v>295</v>
      </c>
      <c r="AD3" s="84" t="s">
        <v>293</v>
      </c>
      <c r="AF3" s="84" t="s">
        <v>362</v>
      </c>
      <c r="AG3" s="84">
        <v>603</v>
      </c>
      <c r="AI3" s="84" t="s">
        <v>384</v>
      </c>
      <c r="AK3" s="84" t="s">
        <v>389</v>
      </c>
      <c r="AL3" s="85">
        <v>2</v>
      </c>
    </row>
    <row r="4" spans="1:38" x14ac:dyDescent="0.25">
      <c r="D4" s="73" t="s">
        <v>57</v>
      </c>
      <c r="E4" s="74">
        <v>3</v>
      </c>
      <c r="G4" s="73" t="s">
        <v>386</v>
      </c>
      <c r="H4" s="74">
        <v>3</v>
      </c>
      <c r="J4" s="73" t="s">
        <v>85</v>
      </c>
      <c r="K4" s="74">
        <v>4</v>
      </c>
      <c r="M4" s="73" t="s">
        <v>99</v>
      </c>
      <c r="N4" s="77">
        <v>3</v>
      </c>
      <c r="P4" s="73" t="s">
        <v>143</v>
      </c>
      <c r="Q4" s="77">
        <v>3</v>
      </c>
      <c r="S4" s="73" t="s">
        <v>268</v>
      </c>
      <c r="T4" s="74">
        <v>3</v>
      </c>
      <c r="U4" s="7"/>
      <c r="V4" s="73" t="s">
        <v>262</v>
      </c>
      <c r="W4" s="77">
        <v>3</v>
      </c>
      <c r="Y4" s="84" t="s">
        <v>285</v>
      </c>
      <c r="Z4" s="84" t="s">
        <v>282</v>
      </c>
      <c r="AB4" s="84" t="s">
        <v>298</v>
      </c>
      <c r="AC4" s="84" t="s">
        <v>297</v>
      </c>
      <c r="AD4" s="84" t="s">
        <v>293</v>
      </c>
      <c r="AF4" s="84" t="s">
        <v>363</v>
      </c>
      <c r="AG4" s="84">
        <v>605</v>
      </c>
      <c r="AK4" s="84" t="s">
        <v>390</v>
      </c>
      <c r="AL4" s="85">
        <v>3</v>
      </c>
    </row>
    <row r="5" spans="1:38" x14ac:dyDescent="0.25">
      <c r="D5" s="73" t="s">
        <v>58</v>
      </c>
      <c r="E5" s="74">
        <v>4</v>
      </c>
      <c r="G5" s="73" t="s">
        <v>73</v>
      </c>
      <c r="H5" s="74">
        <v>4</v>
      </c>
      <c r="J5" s="73" t="s">
        <v>86</v>
      </c>
      <c r="K5" s="74">
        <v>5</v>
      </c>
      <c r="M5" s="73" t="s">
        <v>100</v>
      </c>
      <c r="N5" s="77">
        <v>4</v>
      </c>
      <c r="P5" s="73" t="s">
        <v>144</v>
      </c>
      <c r="Q5" s="77">
        <v>4</v>
      </c>
      <c r="V5" s="73" t="s">
        <v>263</v>
      </c>
      <c r="W5" s="77">
        <v>4</v>
      </c>
      <c r="AB5" s="84" t="s">
        <v>300</v>
      </c>
      <c r="AC5" s="84" t="s">
        <v>299</v>
      </c>
      <c r="AD5" s="84" t="s">
        <v>293</v>
      </c>
      <c r="AF5" s="84" t="s">
        <v>364</v>
      </c>
      <c r="AG5" s="84">
        <v>606</v>
      </c>
      <c r="AK5" s="84" t="s">
        <v>391</v>
      </c>
      <c r="AL5" s="85">
        <v>4</v>
      </c>
    </row>
    <row r="6" spans="1:38" x14ac:dyDescent="0.25">
      <c r="D6" s="73" t="s">
        <v>59</v>
      </c>
      <c r="E6" s="74">
        <v>5</v>
      </c>
      <c r="G6" s="73" t="s">
        <v>74</v>
      </c>
      <c r="H6" s="74">
        <v>5</v>
      </c>
      <c r="J6" s="73" t="s">
        <v>87</v>
      </c>
      <c r="K6" s="74">
        <v>6</v>
      </c>
      <c r="M6" s="73" t="s">
        <v>101</v>
      </c>
      <c r="N6" s="77">
        <v>5</v>
      </c>
      <c r="P6" s="73" t="s">
        <v>145</v>
      </c>
      <c r="Q6" s="77">
        <v>5</v>
      </c>
      <c r="V6" s="73" t="s">
        <v>264</v>
      </c>
      <c r="W6" s="77">
        <v>999</v>
      </c>
      <c r="AB6" s="84" t="s">
        <v>302</v>
      </c>
      <c r="AC6" s="84" t="s">
        <v>301</v>
      </c>
      <c r="AD6" s="84" t="s">
        <v>293</v>
      </c>
      <c r="AF6" s="84" t="s">
        <v>365</v>
      </c>
      <c r="AG6" s="84">
        <v>608</v>
      </c>
      <c r="AK6" s="84" t="s">
        <v>392</v>
      </c>
      <c r="AL6" s="85">
        <v>5</v>
      </c>
    </row>
    <row r="7" spans="1:38" x14ac:dyDescent="0.25">
      <c r="D7" s="73" t="s">
        <v>60</v>
      </c>
      <c r="E7" s="74">
        <v>6</v>
      </c>
      <c r="G7" s="73" t="s">
        <v>75</v>
      </c>
      <c r="H7" s="74">
        <v>6</v>
      </c>
      <c r="J7" s="73" t="s">
        <v>88</v>
      </c>
      <c r="K7" s="74">
        <v>7</v>
      </c>
      <c r="M7" s="73" t="s">
        <v>102</v>
      </c>
      <c r="N7" s="77">
        <v>6</v>
      </c>
      <c r="P7" s="73" t="s">
        <v>146</v>
      </c>
      <c r="Q7" s="77">
        <v>6</v>
      </c>
      <c r="AB7" s="84" t="s">
        <v>304</v>
      </c>
      <c r="AC7" s="84" t="s">
        <v>303</v>
      </c>
      <c r="AD7" s="84" t="s">
        <v>293</v>
      </c>
      <c r="AF7" s="84" t="s">
        <v>366</v>
      </c>
      <c r="AG7" s="84">
        <v>609</v>
      </c>
      <c r="AK7" s="84" t="s">
        <v>393</v>
      </c>
      <c r="AL7" s="85">
        <v>6</v>
      </c>
    </row>
    <row r="8" spans="1:38" x14ac:dyDescent="0.25">
      <c r="D8" s="73" t="s">
        <v>61</v>
      </c>
      <c r="E8" s="74">
        <v>7</v>
      </c>
      <c r="G8" s="73" t="s">
        <v>76</v>
      </c>
      <c r="H8" s="74">
        <v>7</v>
      </c>
      <c r="J8" s="73" t="s">
        <v>89</v>
      </c>
      <c r="K8" s="74">
        <v>8</v>
      </c>
      <c r="M8" s="73" t="s">
        <v>103</v>
      </c>
      <c r="N8" s="77">
        <v>9</v>
      </c>
      <c r="P8" s="73" t="s">
        <v>147</v>
      </c>
      <c r="Q8" s="77">
        <v>7</v>
      </c>
      <c r="AB8" s="84" t="s">
        <v>306</v>
      </c>
      <c r="AC8" s="84" t="s">
        <v>305</v>
      </c>
      <c r="AD8" s="84" t="s">
        <v>293</v>
      </c>
      <c r="AF8" s="84" t="s">
        <v>367</v>
      </c>
      <c r="AG8" s="84">
        <v>610</v>
      </c>
      <c r="AK8" s="84" t="s">
        <v>394</v>
      </c>
      <c r="AL8" s="85">
        <v>7</v>
      </c>
    </row>
    <row r="9" spans="1:38" x14ac:dyDescent="0.25">
      <c r="D9" s="73" t="s">
        <v>62</v>
      </c>
      <c r="E9" s="74">
        <v>8</v>
      </c>
      <c r="G9" s="73" t="s">
        <v>77</v>
      </c>
      <c r="H9" s="74">
        <v>8</v>
      </c>
      <c r="J9" s="73" t="s">
        <v>90</v>
      </c>
      <c r="K9" s="74">
        <v>9</v>
      </c>
      <c r="M9" s="73" t="s">
        <v>104</v>
      </c>
      <c r="N9" s="77">
        <v>10</v>
      </c>
      <c r="P9" s="73" t="s">
        <v>148</v>
      </c>
      <c r="Q9" s="77">
        <v>8</v>
      </c>
      <c r="AB9" s="84" t="s">
        <v>308</v>
      </c>
      <c r="AC9" s="84" t="s">
        <v>307</v>
      </c>
      <c r="AD9" s="84" t="s">
        <v>293</v>
      </c>
      <c r="AF9" s="84" t="s">
        <v>368</v>
      </c>
      <c r="AG9" s="84">
        <v>611</v>
      </c>
      <c r="AK9" s="84" t="s">
        <v>395</v>
      </c>
      <c r="AL9" s="85">
        <v>8</v>
      </c>
    </row>
    <row r="10" spans="1:38" x14ac:dyDescent="0.25">
      <c r="D10" s="73" t="s">
        <v>63</v>
      </c>
      <c r="E10" s="74">
        <v>9</v>
      </c>
      <c r="G10" s="73" t="s">
        <v>78</v>
      </c>
      <c r="H10" s="74">
        <v>9</v>
      </c>
      <c r="J10" s="73" t="s">
        <v>91</v>
      </c>
      <c r="K10" s="74">
        <v>10</v>
      </c>
      <c r="M10" s="73" t="s">
        <v>105</v>
      </c>
      <c r="N10" s="77">
        <v>11</v>
      </c>
      <c r="P10" s="73" t="s">
        <v>149</v>
      </c>
      <c r="Q10" s="77">
        <v>9</v>
      </c>
      <c r="AB10" s="84" t="s">
        <v>310</v>
      </c>
      <c r="AC10" s="84" t="s">
        <v>309</v>
      </c>
      <c r="AD10" s="84" t="s">
        <v>293</v>
      </c>
      <c r="AF10" s="84" t="s">
        <v>369</v>
      </c>
      <c r="AG10" s="84">
        <v>612</v>
      </c>
      <c r="AK10" s="84" t="s">
        <v>396</v>
      </c>
      <c r="AL10" s="85">
        <v>99</v>
      </c>
    </row>
    <row r="11" spans="1:38" x14ac:dyDescent="0.25">
      <c r="D11" s="73" t="s">
        <v>64</v>
      </c>
      <c r="E11" s="75">
        <v>10</v>
      </c>
      <c r="G11" s="73" t="s">
        <v>79</v>
      </c>
      <c r="H11" s="74">
        <v>10</v>
      </c>
      <c r="J11" s="73" t="s">
        <v>92</v>
      </c>
      <c r="K11" s="74">
        <v>11</v>
      </c>
      <c r="M11" s="73" t="s">
        <v>106</v>
      </c>
      <c r="N11" s="77">
        <v>12</v>
      </c>
      <c r="P11" s="73" t="s">
        <v>150</v>
      </c>
      <c r="Q11" s="77">
        <v>10</v>
      </c>
      <c r="AB11" s="84" t="s">
        <v>312</v>
      </c>
      <c r="AC11" s="84" t="s">
        <v>311</v>
      </c>
      <c r="AD11" s="84" t="s">
        <v>293</v>
      </c>
      <c r="AF11" s="84" t="s">
        <v>370</v>
      </c>
      <c r="AG11" s="84">
        <v>614</v>
      </c>
    </row>
    <row r="12" spans="1:38" x14ac:dyDescent="0.25">
      <c r="D12" s="73" t="s">
        <v>65</v>
      </c>
      <c r="E12" s="74">
        <v>99</v>
      </c>
      <c r="G12" s="73" t="s">
        <v>80</v>
      </c>
      <c r="H12" s="71">
        <v>99</v>
      </c>
      <c r="J12" s="73" t="s">
        <v>93</v>
      </c>
      <c r="K12" s="74">
        <v>12</v>
      </c>
      <c r="M12" s="73" t="s">
        <v>107</v>
      </c>
      <c r="N12" s="77">
        <v>13</v>
      </c>
      <c r="P12" s="73" t="s">
        <v>151</v>
      </c>
      <c r="Q12" s="77">
        <v>11</v>
      </c>
      <c r="AB12" s="84" t="s">
        <v>314</v>
      </c>
      <c r="AC12" s="84" t="s">
        <v>313</v>
      </c>
      <c r="AD12" s="84" t="s">
        <v>293</v>
      </c>
      <c r="AF12" s="84" t="s">
        <v>371</v>
      </c>
      <c r="AG12" s="84">
        <v>616</v>
      </c>
    </row>
    <row r="13" spans="1:38" x14ac:dyDescent="0.25">
      <c r="J13" s="73" t="s">
        <v>94</v>
      </c>
      <c r="K13" s="74">
        <v>99</v>
      </c>
      <c r="M13" s="73" t="s">
        <v>108</v>
      </c>
      <c r="N13" s="77">
        <v>14</v>
      </c>
      <c r="P13" s="73" t="s">
        <v>152</v>
      </c>
      <c r="Q13" s="77">
        <v>12</v>
      </c>
      <c r="AB13" s="84" t="s">
        <v>316</v>
      </c>
      <c r="AC13" s="84" t="s">
        <v>315</v>
      </c>
      <c r="AD13" s="84" t="s">
        <v>293</v>
      </c>
      <c r="AF13" s="84" t="s">
        <v>372</v>
      </c>
      <c r="AG13" s="84">
        <v>620</v>
      </c>
    </row>
    <row r="14" spans="1:38" x14ac:dyDescent="0.25">
      <c r="M14" s="73" t="s">
        <v>109</v>
      </c>
      <c r="N14" s="77">
        <v>15</v>
      </c>
      <c r="P14" s="73" t="s">
        <v>153</v>
      </c>
      <c r="Q14" s="77">
        <v>13</v>
      </c>
      <c r="AB14" s="84" t="s">
        <v>318</v>
      </c>
      <c r="AC14" s="84" t="s">
        <v>317</v>
      </c>
      <c r="AD14" s="84" t="s">
        <v>293</v>
      </c>
      <c r="AF14" s="84" t="s">
        <v>373</v>
      </c>
      <c r="AG14" s="84">
        <v>621</v>
      </c>
    </row>
    <row r="15" spans="1:38" x14ac:dyDescent="0.25">
      <c r="M15" s="73" t="s">
        <v>110</v>
      </c>
      <c r="N15" s="77">
        <v>19</v>
      </c>
      <c r="P15" s="73" t="s">
        <v>154</v>
      </c>
      <c r="Q15" s="77">
        <v>14</v>
      </c>
      <c r="AB15" s="84" t="s">
        <v>320</v>
      </c>
      <c r="AC15" s="84" t="s">
        <v>319</v>
      </c>
      <c r="AD15" s="84" t="s">
        <v>293</v>
      </c>
      <c r="AF15" s="84" t="s">
        <v>374</v>
      </c>
      <c r="AG15" s="84">
        <v>622</v>
      </c>
    </row>
    <row r="16" spans="1:38" x14ac:dyDescent="0.25">
      <c r="M16" s="73" t="s">
        <v>111</v>
      </c>
      <c r="N16" s="77">
        <v>20</v>
      </c>
      <c r="P16" s="73" t="s">
        <v>155</v>
      </c>
      <c r="Q16" s="77">
        <v>15</v>
      </c>
      <c r="AB16" s="84" t="s">
        <v>321</v>
      </c>
      <c r="AC16" s="84" t="s">
        <v>293</v>
      </c>
      <c r="AD16" s="84" t="s">
        <v>293</v>
      </c>
      <c r="AF16" s="84" t="s">
        <v>375</v>
      </c>
      <c r="AG16" s="84">
        <v>623</v>
      </c>
    </row>
    <row r="17" spans="13:33" x14ac:dyDescent="0.25">
      <c r="M17" s="73" t="s">
        <v>112</v>
      </c>
      <c r="N17" s="77">
        <v>21</v>
      </c>
      <c r="P17" s="73" t="s">
        <v>156</v>
      </c>
      <c r="Q17" s="77">
        <v>16</v>
      </c>
      <c r="AB17" s="84" t="s">
        <v>323</v>
      </c>
      <c r="AC17" s="84" t="s">
        <v>322</v>
      </c>
      <c r="AD17" s="84" t="s">
        <v>293</v>
      </c>
      <c r="AF17" s="84" t="s">
        <v>376</v>
      </c>
      <c r="AG17" s="84">
        <v>624</v>
      </c>
    </row>
    <row r="18" spans="13:33" x14ac:dyDescent="0.25">
      <c r="M18" s="73" t="s">
        <v>113</v>
      </c>
      <c r="N18" s="77">
        <v>22</v>
      </c>
      <c r="P18" s="73" t="s">
        <v>157</v>
      </c>
      <c r="Q18" s="77">
        <v>17</v>
      </c>
      <c r="AB18" s="84" t="s">
        <v>325</v>
      </c>
      <c r="AC18" s="84" t="s">
        <v>324</v>
      </c>
      <c r="AD18" s="84" t="s">
        <v>293</v>
      </c>
      <c r="AF18" s="84" t="s">
        <v>377</v>
      </c>
      <c r="AG18" s="84">
        <v>628</v>
      </c>
    </row>
    <row r="19" spans="13:33" x14ac:dyDescent="0.25">
      <c r="M19" s="73" t="s">
        <v>114</v>
      </c>
      <c r="N19" s="77">
        <v>23</v>
      </c>
      <c r="P19" s="73" t="s">
        <v>158</v>
      </c>
      <c r="Q19" s="77">
        <v>18</v>
      </c>
      <c r="AB19" s="84" t="s">
        <v>327</v>
      </c>
      <c r="AC19" s="84" t="s">
        <v>326</v>
      </c>
      <c r="AD19" s="84" t="s">
        <v>293</v>
      </c>
      <c r="AF19" s="84" t="s">
        <v>378</v>
      </c>
      <c r="AG19" s="84">
        <v>607</v>
      </c>
    </row>
    <row r="20" spans="13:33" x14ac:dyDescent="0.25">
      <c r="M20" s="73" t="s">
        <v>115</v>
      </c>
      <c r="N20" s="77">
        <v>24</v>
      </c>
      <c r="P20" s="73" t="s">
        <v>159</v>
      </c>
      <c r="Q20" s="77">
        <v>19</v>
      </c>
      <c r="AB20" s="84" t="s">
        <v>329</v>
      </c>
      <c r="AC20" s="84" t="s">
        <v>328</v>
      </c>
      <c r="AD20" s="84" t="s">
        <v>293</v>
      </c>
      <c r="AF20" s="84" t="s">
        <v>379</v>
      </c>
      <c r="AG20" s="84">
        <v>629</v>
      </c>
    </row>
    <row r="21" spans="13:33" x14ac:dyDescent="0.25">
      <c r="M21" s="73" t="s">
        <v>116</v>
      </c>
      <c r="N21" s="77">
        <v>25</v>
      </c>
      <c r="P21" s="73" t="s">
        <v>160</v>
      </c>
      <c r="Q21" s="77">
        <v>20</v>
      </c>
      <c r="AB21" s="84" t="s">
        <v>331</v>
      </c>
      <c r="AC21" s="84" t="s">
        <v>330</v>
      </c>
      <c r="AD21" s="84" t="s">
        <v>293</v>
      </c>
      <c r="AF21" s="84" t="s">
        <v>380</v>
      </c>
      <c r="AG21" s="84">
        <v>630</v>
      </c>
    </row>
    <row r="22" spans="13:33" x14ac:dyDescent="0.25">
      <c r="M22" s="73" t="s">
        <v>117</v>
      </c>
      <c r="N22" s="77">
        <v>26</v>
      </c>
      <c r="P22" s="73" t="s">
        <v>161</v>
      </c>
      <c r="Q22" s="77">
        <v>21</v>
      </c>
      <c r="AB22" s="84" t="s">
        <v>332</v>
      </c>
      <c r="AC22" s="84" t="s">
        <v>271</v>
      </c>
      <c r="AD22" s="84" t="s">
        <v>293</v>
      </c>
      <c r="AF22" s="84" t="s">
        <v>381</v>
      </c>
      <c r="AG22" s="84">
        <v>615</v>
      </c>
    </row>
    <row r="23" spans="13:33" x14ac:dyDescent="0.25">
      <c r="M23" s="73" t="s">
        <v>118</v>
      </c>
      <c r="N23" s="77">
        <v>27</v>
      </c>
      <c r="P23" s="73" t="s">
        <v>162</v>
      </c>
      <c r="Q23" s="77">
        <v>22</v>
      </c>
      <c r="AB23" s="84" t="s">
        <v>334</v>
      </c>
      <c r="AC23" s="84" t="s">
        <v>333</v>
      </c>
      <c r="AD23" s="84" t="s">
        <v>293</v>
      </c>
    </row>
    <row r="24" spans="13:33" x14ac:dyDescent="0.25">
      <c r="M24" s="73" t="s">
        <v>119</v>
      </c>
      <c r="N24" s="77">
        <v>28</v>
      </c>
      <c r="P24" s="73" t="s">
        <v>163</v>
      </c>
      <c r="Q24" s="77">
        <v>23</v>
      </c>
      <c r="AB24" s="84" t="s">
        <v>336</v>
      </c>
      <c r="AC24" s="84" t="s">
        <v>335</v>
      </c>
      <c r="AD24" s="84" t="s">
        <v>293</v>
      </c>
    </row>
    <row r="25" spans="13:33" x14ac:dyDescent="0.25">
      <c r="M25" s="73" t="s">
        <v>120</v>
      </c>
      <c r="N25" s="77">
        <v>29</v>
      </c>
      <c r="P25" s="79" t="s">
        <v>164</v>
      </c>
      <c r="Q25" s="80">
        <v>24</v>
      </c>
      <c r="AB25" s="84" t="s">
        <v>338</v>
      </c>
      <c r="AC25" s="84" t="s">
        <v>337</v>
      </c>
      <c r="AD25" s="84" t="s">
        <v>293</v>
      </c>
    </row>
    <row r="26" spans="13:33" x14ac:dyDescent="0.25">
      <c r="M26" s="73" t="s">
        <v>121</v>
      </c>
      <c r="N26" s="77">
        <v>30</v>
      </c>
      <c r="P26" s="79" t="s">
        <v>165</v>
      </c>
      <c r="Q26" s="80">
        <v>25</v>
      </c>
      <c r="AB26" s="84" t="s">
        <v>340</v>
      </c>
      <c r="AC26" s="84" t="s">
        <v>339</v>
      </c>
      <c r="AD26" s="84" t="s">
        <v>293</v>
      </c>
    </row>
    <row r="27" spans="13:33" x14ac:dyDescent="0.25">
      <c r="M27" s="73" t="s">
        <v>122</v>
      </c>
      <c r="N27" s="77">
        <v>31</v>
      </c>
      <c r="P27" s="79" t="s">
        <v>166</v>
      </c>
      <c r="Q27" s="80">
        <v>26</v>
      </c>
      <c r="AB27" s="84" t="s">
        <v>342</v>
      </c>
      <c r="AC27" s="84" t="s">
        <v>341</v>
      </c>
      <c r="AD27" s="84" t="s">
        <v>293</v>
      </c>
    </row>
    <row r="28" spans="13:33" x14ac:dyDescent="0.25">
      <c r="M28" s="73" t="s">
        <v>123</v>
      </c>
      <c r="N28" s="77">
        <v>32</v>
      </c>
      <c r="P28" s="79" t="s">
        <v>167</v>
      </c>
      <c r="Q28" s="80">
        <v>27</v>
      </c>
      <c r="AB28" s="84" t="s">
        <v>344</v>
      </c>
      <c r="AC28" s="84" t="s">
        <v>343</v>
      </c>
      <c r="AD28" s="84" t="s">
        <v>293</v>
      </c>
    </row>
    <row r="29" spans="13:33" x14ac:dyDescent="0.25">
      <c r="M29" s="73" t="s">
        <v>124</v>
      </c>
      <c r="N29" s="77">
        <v>33</v>
      </c>
      <c r="P29" s="79" t="s">
        <v>168</v>
      </c>
      <c r="Q29" s="80">
        <v>28</v>
      </c>
      <c r="AB29" s="84" t="s">
        <v>346</v>
      </c>
      <c r="AC29" s="84" t="s">
        <v>345</v>
      </c>
      <c r="AD29" s="84" t="s">
        <v>293</v>
      </c>
    </row>
    <row r="30" spans="13:33" x14ac:dyDescent="0.25">
      <c r="M30" s="73" t="s">
        <v>125</v>
      </c>
      <c r="N30" s="77">
        <v>34</v>
      </c>
      <c r="P30" s="79" t="s">
        <v>169</v>
      </c>
      <c r="Q30" s="80">
        <v>29</v>
      </c>
      <c r="AB30" s="84" t="s">
        <v>348</v>
      </c>
      <c r="AC30" s="84" t="s">
        <v>347</v>
      </c>
      <c r="AD30" s="84" t="s">
        <v>293</v>
      </c>
    </row>
    <row r="31" spans="13:33" x14ac:dyDescent="0.25">
      <c r="M31" s="73" t="s">
        <v>126</v>
      </c>
      <c r="N31" s="77">
        <v>35</v>
      </c>
      <c r="P31" s="79" t="s">
        <v>170</v>
      </c>
      <c r="Q31" s="80">
        <v>30</v>
      </c>
      <c r="AB31" s="84" t="s">
        <v>350</v>
      </c>
      <c r="AC31" s="84" t="s">
        <v>349</v>
      </c>
      <c r="AD31" s="84" t="s">
        <v>293</v>
      </c>
    </row>
    <row r="32" spans="13:33" x14ac:dyDescent="0.25">
      <c r="M32" s="73" t="s">
        <v>127</v>
      </c>
      <c r="N32" s="77">
        <v>36</v>
      </c>
      <c r="P32" s="79" t="s">
        <v>171</v>
      </c>
      <c r="Q32" s="80">
        <v>31</v>
      </c>
      <c r="AB32" s="84" t="s">
        <v>352</v>
      </c>
      <c r="AC32" s="84" t="s">
        <v>351</v>
      </c>
      <c r="AD32" s="84" t="s">
        <v>293</v>
      </c>
    </row>
    <row r="33" spans="13:30" x14ac:dyDescent="0.25">
      <c r="M33" s="73" t="s">
        <v>128</v>
      </c>
      <c r="N33" s="77">
        <v>37</v>
      </c>
      <c r="P33" s="79" t="s">
        <v>172</v>
      </c>
      <c r="Q33" s="80">
        <v>32</v>
      </c>
      <c r="AB33" s="84" t="s">
        <v>354</v>
      </c>
      <c r="AC33" s="84" t="s">
        <v>353</v>
      </c>
      <c r="AD33" s="84" t="s">
        <v>293</v>
      </c>
    </row>
    <row r="34" spans="13:30" x14ac:dyDescent="0.25">
      <c r="M34" s="73" t="s">
        <v>129</v>
      </c>
      <c r="N34" s="77">
        <v>38</v>
      </c>
      <c r="P34" s="79" t="s">
        <v>173</v>
      </c>
      <c r="Q34" s="80">
        <v>33</v>
      </c>
    </row>
    <row r="35" spans="13:30" x14ac:dyDescent="0.25">
      <c r="M35" s="73" t="s">
        <v>130</v>
      </c>
      <c r="N35" s="77">
        <v>39</v>
      </c>
      <c r="P35" s="79" t="s">
        <v>174</v>
      </c>
      <c r="Q35" s="80">
        <v>34</v>
      </c>
    </row>
    <row r="36" spans="13:30" x14ac:dyDescent="0.25">
      <c r="M36" s="73" t="s">
        <v>131</v>
      </c>
      <c r="N36" s="77">
        <v>44</v>
      </c>
      <c r="P36" s="79" t="s">
        <v>175</v>
      </c>
      <c r="Q36" s="80">
        <v>35</v>
      </c>
    </row>
    <row r="37" spans="13:30" x14ac:dyDescent="0.25">
      <c r="M37" s="73" t="s">
        <v>132</v>
      </c>
      <c r="N37" s="77">
        <v>45</v>
      </c>
      <c r="P37" s="79" t="s">
        <v>176</v>
      </c>
      <c r="Q37" s="80">
        <v>36</v>
      </c>
    </row>
    <row r="38" spans="13:30" x14ac:dyDescent="0.25">
      <c r="M38" s="78" t="s">
        <v>134</v>
      </c>
      <c r="N38" s="77" t="s">
        <v>133</v>
      </c>
      <c r="P38" s="79" t="s">
        <v>177</v>
      </c>
      <c r="Q38" s="80">
        <v>37</v>
      </c>
    </row>
    <row r="39" spans="13:30" x14ac:dyDescent="0.25">
      <c r="M39" s="78" t="s">
        <v>136</v>
      </c>
      <c r="N39" s="77" t="s">
        <v>135</v>
      </c>
      <c r="P39" s="79" t="s">
        <v>178</v>
      </c>
      <c r="Q39" s="80">
        <v>38</v>
      </c>
    </row>
    <row r="40" spans="13:30" x14ac:dyDescent="0.25">
      <c r="M40" s="78" t="s">
        <v>137</v>
      </c>
      <c r="N40" s="77">
        <v>48</v>
      </c>
      <c r="P40" s="79" t="s">
        <v>179</v>
      </c>
      <c r="Q40" s="80">
        <v>39</v>
      </c>
    </row>
    <row r="41" spans="13:30" x14ac:dyDescent="0.25">
      <c r="M41" s="78" t="s">
        <v>138</v>
      </c>
      <c r="N41" s="77">
        <v>49</v>
      </c>
      <c r="P41" s="79" t="s">
        <v>180</v>
      </c>
      <c r="Q41" s="80">
        <v>40</v>
      </c>
    </row>
    <row r="42" spans="13:30" x14ac:dyDescent="0.25">
      <c r="M42" s="78" t="s">
        <v>139</v>
      </c>
      <c r="N42" s="77">
        <v>50</v>
      </c>
      <c r="P42" s="79" t="s">
        <v>181</v>
      </c>
      <c r="Q42" s="80">
        <v>41</v>
      </c>
    </row>
    <row r="43" spans="13:30" x14ac:dyDescent="0.25">
      <c r="P43" s="79" t="s">
        <v>182</v>
      </c>
      <c r="Q43" s="80">
        <v>42</v>
      </c>
    </row>
    <row r="44" spans="13:30" x14ac:dyDescent="0.25">
      <c r="P44" s="79" t="s">
        <v>183</v>
      </c>
      <c r="Q44" s="80">
        <v>43</v>
      </c>
    </row>
    <row r="45" spans="13:30" x14ac:dyDescent="0.25">
      <c r="P45" s="79" t="s">
        <v>184</v>
      </c>
      <c r="Q45" s="80">
        <v>44</v>
      </c>
    </row>
    <row r="46" spans="13:30" x14ac:dyDescent="0.25">
      <c r="P46" s="79" t="s">
        <v>185</v>
      </c>
      <c r="Q46" s="80">
        <v>45</v>
      </c>
    </row>
    <row r="47" spans="13:30" x14ac:dyDescent="0.25">
      <c r="P47" s="79" t="s">
        <v>186</v>
      </c>
      <c r="Q47" s="80">
        <v>46</v>
      </c>
    </row>
    <row r="48" spans="13:30" x14ac:dyDescent="0.25">
      <c r="P48" s="79" t="s">
        <v>187</v>
      </c>
      <c r="Q48" s="80">
        <v>47</v>
      </c>
    </row>
    <row r="49" spans="16:17" x14ac:dyDescent="0.25">
      <c r="P49" s="79" t="s">
        <v>188</v>
      </c>
      <c r="Q49" s="80">
        <v>48</v>
      </c>
    </row>
    <row r="50" spans="16:17" x14ac:dyDescent="0.25">
      <c r="P50" s="79" t="s">
        <v>189</v>
      </c>
      <c r="Q50" s="80">
        <v>49</v>
      </c>
    </row>
    <row r="51" spans="16:17" x14ac:dyDescent="0.25">
      <c r="P51" s="79" t="s">
        <v>190</v>
      </c>
      <c r="Q51" s="80">
        <v>50</v>
      </c>
    </row>
    <row r="52" spans="16:17" x14ac:dyDescent="0.25">
      <c r="P52" s="79" t="s">
        <v>191</v>
      </c>
      <c r="Q52" s="80">
        <v>51</v>
      </c>
    </row>
    <row r="53" spans="16:17" x14ac:dyDescent="0.25">
      <c r="P53" s="79" t="s">
        <v>192</v>
      </c>
      <c r="Q53" s="80">
        <v>52</v>
      </c>
    </row>
    <row r="54" spans="16:17" x14ac:dyDescent="0.25">
      <c r="P54" s="79" t="s">
        <v>193</v>
      </c>
      <c r="Q54" s="80">
        <v>53</v>
      </c>
    </row>
    <row r="55" spans="16:17" x14ac:dyDescent="0.25">
      <c r="P55" s="79" t="s">
        <v>194</v>
      </c>
      <c r="Q55" s="80">
        <v>54</v>
      </c>
    </row>
    <row r="56" spans="16:17" x14ac:dyDescent="0.25">
      <c r="P56" s="79" t="s">
        <v>195</v>
      </c>
      <c r="Q56" s="80">
        <v>55</v>
      </c>
    </row>
    <row r="57" spans="16:17" x14ac:dyDescent="0.25">
      <c r="P57" s="79" t="s">
        <v>196</v>
      </c>
      <c r="Q57" s="80">
        <v>56</v>
      </c>
    </row>
    <row r="58" spans="16:17" x14ac:dyDescent="0.25">
      <c r="P58" s="79" t="s">
        <v>197</v>
      </c>
      <c r="Q58" s="80">
        <v>57</v>
      </c>
    </row>
    <row r="59" spans="16:17" x14ac:dyDescent="0.25">
      <c r="P59" s="79" t="s">
        <v>198</v>
      </c>
      <c r="Q59" s="80">
        <v>58</v>
      </c>
    </row>
    <row r="60" spans="16:17" x14ac:dyDescent="0.25">
      <c r="P60" s="79" t="s">
        <v>199</v>
      </c>
      <c r="Q60" s="80">
        <v>59</v>
      </c>
    </row>
    <row r="61" spans="16:17" x14ac:dyDescent="0.25">
      <c r="P61" s="79" t="s">
        <v>200</v>
      </c>
      <c r="Q61" s="80">
        <v>60</v>
      </c>
    </row>
    <row r="62" spans="16:17" x14ac:dyDescent="0.25">
      <c r="P62" s="79" t="s">
        <v>201</v>
      </c>
      <c r="Q62" s="80">
        <v>61</v>
      </c>
    </row>
    <row r="63" spans="16:17" x14ac:dyDescent="0.25">
      <c r="P63" s="79" t="s">
        <v>202</v>
      </c>
      <c r="Q63" s="80">
        <v>62</v>
      </c>
    </row>
    <row r="64" spans="16:17" x14ac:dyDescent="0.25">
      <c r="P64" s="79" t="s">
        <v>203</v>
      </c>
      <c r="Q64" s="80">
        <v>63</v>
      </c>
    </row>
    <row r="65" spans="16:17" x14ac:dyDescent="0.25">
      <c r="P65" s="79" t="s">
        <v>204</v>
      </c>
      <c r="Q65" s="80">
        <v>64</v>
      </c>
    </row>
    <row r="66" spans="16:17" x14ac:dyDescent="0.25">
      <c r="P66" s="79" t="s">
        <v>205</v>
      </c>
      <c r="Q66" s="80">
        <v>65</v>
      </c>
    </row>
    <row r="67" spans="16:17" x14ac:dyDescent="0.25">
      <c r="P67" s="79" t="s">
        <v>206</v>
      </c>
      <c r="Q67" s="80">
        <v>66</v>
      </c>
    </row>
    <row r="68" spans="16:17" x14ac:dyDescent="0.25">
      <c r="P68" s="79" t="s">
        <v>207</v>
      </c>
      <c r="Q68" s="80">
        <v>67</v>
      </c>
    </row>
    <row r="69" spans="16:17" x14ac:dyDescent="0.25">
      <c r="P69" s="79" t="s">
        <v>208</v>
      </c>
      <c r="Q69" s="80">
        <v>68</v>
      </c>
    </row>
    <row r="70" spans="16:17" x14ac:dyDescent="0.25">
      <c r="P70" s="79" t="s">
        <v>209</v>
      </c>
      <c r="Q70" s="80">
        <v>69</v>
      </c>
    </row>
    <row r="71" spans="16:17" x14ac:dyDescent="0.25">
      <c r="P71" s="79" t="s">
        <v>210</v>
      </c>
      <c r="Q71" s="80">
        <v>70</v>
      </c>
    </row>
    <row r="72" spans="16:17" x14ac:dyDescent="0.25">
      <c r="P72" s="81" t="s">
        <v>211</v>
      </c>
      <c r="Q72" s="80">
        <v>71</v>
      </c>
    </row>
    <row r="73" spans="16:17" x14ac:dyDescent="0.25">
      <c r="P73" s="79" t="s">
        <v>212</v>
      </c>
      <c r="Q73" s="80">
        <v>72</v>
      </c>
    </row>
    <row r="74" spans="16:17" x14ac:dyDescent="0.25">
      <c r="P74" s="79" t="s">
        <v>213</v>
      </c>
      <c r="Q74" s="80">
        <v>73</v>
      </c>
    </row>
    <row r="75" spans="16:17" x14ac:dyDescent="0.25">
      <c r="P75" s="82" t="s">
        <v>214</v>
      </c>
      <c r="Q75" s="80">
        <v>74</v>
      </c>
    </row>
    <row r="76" spans="16:17" x14ac:dyDescent="0.25">
      <c r="P76" s="82" t="s">
        <v>215</v>
      </c>
      <c r="Q76" s="80">
        <v>75</v>
      </c>
    </row>
    <row r="77" spans="16:17" x14ac:dyDescent="0.25">
      <c r="P77" s="82" t="s">
        <v>216</v>
      </c>
      <c r="Q77" s="80">
        <v>76</v>
      </c>
    </row>
    <row r="78" spans="16:17" x14ac:dyDescent="0.25">
      <c r="P78" s="82" t="s">
        <v>217</v>
      </c>
      <c r="Q78" s="80">
        <v>77</v>
      </c>
    </row>
    <row r="79" spans="16:17" x14ac:dyDescent="0.25">
      <c r="P79" s="82" t="s">
        <v>218</v>
      </c>
      <c r="Q79" s="80">
        <v>78</v>
      </c>
    </row>
    <row r="80" spans="16:17" ht="28.5" x14ac:dyDescent="0.25">
      <c r="P80" s="82" t="s">
        <v>219</v>
      </c>
      <c r="Q80" s="80">
        <v>79</v>
      </c>
    </row>
    <row r="81" spans="16:17" x14ac:dyDescent="0.25">
      <c r="P81" s="82" t="s">
        <v>220</v>
      </c>
      <c r="Q81" s="80">
        <v>80</v>
      </c>
    </row>
    <row r="82" spans="16:17" x14ac:dyDescent="0.25">
      <c r="P82" s="82" t="s">
        <v>221</v>
      </c>
      <c r="Q82" s="80">
        <v>81</v>
      </c>
    </row>
    <row r="83" spans="16:17" x14ac:dyDescent="0.25">
      <c r="P83" s="79" t="s">
        <v>223</v>
      </c>
      <c r="Q83" s="83" t="s">
        <v>222</v>
      </c>
    </row>
    <row r="84" spans="16:17" x14ac:dyDescent="0.25">
      <c r="P84" s="79" t="s">
        <v>225</v>
      </c>
      <c r="Q84" s="83" t="s">
        <v>224</v>
      </c>
    </row>
    <row r="85" spans="16:17" x14ac:dyDescent="0.25">
      <c r="P85" s="79" t="s">
        <v>227</v>
      </c>
      <c r="Q85" s="83" t="s">
        <v>226</v>
      </c>
    </row>
    <row r="86" spans="16:17" x14ac:dyDescent="0.25">
      <c r="P86" s="79" t="s">
        <v>229</v>
      </c>
      <c r="Q86" s="83" t="s">
        <v>228</v>
      </c>
    </row>
    <row r="87" spans="16:17" x14ac:dyDescent="0.25">
      <c r="P87" s="79" t="s">
        <v>231</v>
      </c>
      <c r="Q87" s="83" t="s">
        <v>230</v>
      </c>
    </row>
    <row r="88" spans="16:17" x14ac:dyDescent="0.25">
      <c r="P88" s="79" t="s">
        <v>233</v>
      </c>
      <c r="Q88" s="83" t="s">
        <v>232</v>
      </c>
    </row>
    <row r="89" spans="16:17" x14ac:dyDescent="0.25">
      <c r="P89" s="79" t="s">
        <v>235</v>
      </c>
      <c r="Q89" s="83" t="s">
        <v>234</v>
      </c>
    </row>
    <row r="90" spans="16:17" x14ac:dyDescent="0.25">
      <c r="P90" s="79" t="s">
        <v>237</v>
      </c>
      <c r="Q90" s="83" t="s">
        <v>236</v>
      </c>
    </row>
    <row r="91" spans="16:17" x14ac:dyDescent="0.25">
      <c r="P91" s="79" t="s">
        <v>239</v>
      </c>
      <c r="Q91" s="83" t="s">
        <v>238</v>
      </c>
    </row>
    <row r="92" spans="16:17" x14ac:dyDescent="0.25">
      <c r="P92" s="79" t="s">
        <v>241</v>
      </c>
      <c r="Q92" s="83" t="s">
        <v>240</v>
      </c>
    </row>
    <row r="93" spans="16:17" x14ac:dyDescent="0.25">
      <c r="P93" s="79" t="s">
        <v>243</v>
      </c>
      <c r="Q93" s="83" t="s">
        <v>242</v>
      </c>
    </row>
    <row r="94" spans="16:17" x14ac:dyDescent="0.25">
      <c r="P94" s="79" t="s">
        <v>245</v>
      </c>
      <c r="Q94" s="83" t="s">
        <v>244</v>
      </c>
    </row>
    <row r="95" spans="16:17" x14ac:dyDescent="0.25">
      <c r="P95" s="79" t="s">
        <v>247</v>
      </c>
      <c r="Q95" s="83" t="s">
        <v>246</v>
      </c>
    </row>
    <row r="96" spans="16:17" x14ac:dyDescent="0.25">
      <c r="P96" s="79" t="s">
        <v>249</v>
      </c>
      <c r="Q96" s="83" t="s">
        <v>248</v>
      </c>
    </row>
    <row r="97" spans="16:17" x14ac:dyDescent="0.25">
      <c r="P97" s="79" t="s">
        <v>251</v>
      </c>
      <c r="Q97" s="83" t="s">
        <v>250</v>
      </c>
    </row>
    <row r="98" spans="16:17" x14ac:dyDescent="0.25">
      <c r="P98" s="79" t="s">
        <v>253</v>
      </c>
      <c r="Q98" s="83" t="s">
        <v>252</v>
      </c>
    </row>
    <row r="99" spans="16:17" x14ac:dyDescent="0.25">
      <c r="P99" s="79" t="s">
        <v>255</v>
      </c>
      <c r="Q99" s="83" t="s">
        <v>254</v>
      </c>
    </row>
    <row r="100" spans="16:17" x14ac:dyDescent="0.25">
      <c r="P100" s="79" t="s">
        <v>257</v>
      </c>
      <c r="Q100" s="83" t="s">
        <v>256</v>
      </c>
    </row>
    <row r="101" spans="16:17" x14ac:dyDescent="0.25">
      <c r="P101" s="79" t="s">
        <v>258</v>
      </c>
      <c r="Q101" s="83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20"/>
  <sheetViews>
    <sheetView workbookViewId="0">
      <selection activeCell="D20" sqref="D20"/>
    </sheetView>
  </sheetViews>
  <sheetFormatPr baseColWidth="10" defaultColWidth="12.5703125" defaultRowHeight="15" x14ac:dyDescent="0.25"/>
  <cols>
    <col min="1" max="16384" width="12.5703125" style="49"/>
  </cols>
  <sheetData>
    <row r="2" spans="2:13" x14ac:dyDescent="0.25">
      <c r="B2" s="45"/>
      <c r="C2" s="46"/>
      <c r="D2" s="46"/>
      <c r="E2" s="47"/>
      <c r="F2" s="48"/>
      <c r="G2" s="48"/>
      <c r="H2" s="48"/>
      <c r="I2" s="48"/>
      <c r="J2" s="48"/>
      <c r="K2" s="48"/>
      <c r="L2" s="48"/>
      <c r="M2" s="48"/>
    </row>
    <row r="3" spans="2:13" ht="28.5" customHeight="1" x14ac:dyDescent="0.25">
      <c r="B3" s="45"/>
      <c r="C3" s="46"/>
      <c r="D3" s="46"/>
      <c r="E3" s="47"/>
      <c r="F3" s="48"/>
      <c r="G3" s="48"/>
      <c r="H3" s="48"/>
      <c r="I3" s="48"/>
      <c r="J3" s="48"/>
      <c r="K3" s="48"/>
      <c r="L3" s="48"/>
      <c r="M3" s="48"/>
    </row>
    <row r="4" spans="2:13" x14ac:dyDescent="0.25">
      <c r="B4" s="45"/>
      <c r="C4" s="46"/>
      <c r="D4" s="46"/>
      <c r="E4" s="47"/>
      <c r="F4" s="48"/>
      <c r="G4" s="48"/>
      <c r="H4" s="48"/>
      <c r="I4" s="48"/>
      <c r="J4" s="48"/>
      <c r="K4" s="48"/>
      <c r="L4" s="48"/>
      <c r="M4" s="48"/>
    </row>
    <row r="5" spans="2:13" ht="41.25" customHeight="1" thickBot="1" x14ac:dyDescent="0.3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2:13" ht="25.5" customHeight="1" x14ac:dyDescent="0.25">
      <c r="B6" s="62" t="s">
        <v>502</v>
      </c>
      <c r="C6" s="63"/>
      <c r="D6" s="64"/>
      <c r="E6" s="48"/>
    </row>
    <row r="7" spans="2:13" x14ac:dyDescent="0.25">
      <c r="B7" s="65" t="s">
        <v>498</v>
      </c>
      <c r="C7" s="66"/>
      <c r="D7" s="67"/>
      <c r="E7" s="48"/>
    </row>
    <row r="8" spans="2:13" ht="26.25" customHeight="1" x14ac:dyDescent="0.25">
      <c r="B8" s="68" t="s">
        <v>499</v>
      </c>
      <c r="C8" s="69"/>
      <c r="D8" s="50"/>
      <c r="E8" s="48"/>
    </row>
    <row r="9" spans="2:13" ht="42" x14ac:dyDescent="0.25">
      <c r="B9" s="51" t="s">
        <v>500</v>
      </c>
      <c r="C9" s="52" t="s">
        <v>501</v>
      </c>
      <c r="D9" s="53" t="s">
        <v>510</v>
      </c>
      <c r="E9" s="48"/>
    </row>
    <row r="10" spans="2:13" x14ac:dyDescent="0.25">
      <c r="B10" s="54">
        <v>0.01</v>
      </c>
      <c r="C10" s="55">
        <v>1768.96</v>
      </c>
      <c r="D10" s="56">
        <v>407.02</v>
      </c>
      <c r="E10" s="48"/>
    </row>
    <row r="11" spans="2:13" x14ac:dyDescent="0.25">
      <c r="B11" s="54">
        <f>+C10+0.01</f>
        <v>1768.97</v>
      </c>
      <c r="C11" s="55">
        <v>2653.8</v>
      </c>
      <c r="D11" s="56">
        <v>406.83</v>
      </c>
      <c r="E11" s="48"/>
    </row>
    <row r="12" spans="2:13" x14ac:dyDescent="0.25">
      <c r="B12" s="54">
        <f t="shared" ref="B12:B20" si="0">+C11+0.01</f>
        <v>2653.8100000000004</v>
      </c>
      <c r="C12" s="55">
        <v>3472.84</v>
      </c>
      <c r="D12" s="56">
        <v>406.62</v>
      </c>
      <c r="E12" s="48"/>
    </row>
    <row r="13" spans="2:13" x14ac:dyDescent="0.25">
      <c r="B13" s="54">
        <f t="shared" si="0"/>
        <v>3472.8500000000004</v>
      </c>
      <c r="C13" s="55">
        <v>3537.87</v>
      </c>
      <c r="D13" s="56">
        <v>392.77</v>
      </c>
      <c r="E13" s="48"/>
    </row>
    <row r="14" spans="2:13" x14ac:dyDescent="0.25">
      <c r="B14" s="54">
        <f t="shared" si="0"/>
        <v>3537.88</v>
      </c>
      <c r="C14" s="55">
        <v>4446.1499999999996</v>
      </c>
      <c r="D14" s="56">
        <v>382.46</v>
      </c>
      <c r="E14" s="48"/>
    </row>
    <row r="15" spans="2:13" x14ac:dyDescent="0.25">
      <c r="B15" s="54">
        <f t="shared" si="0"/>
        <v>4446.16</v>
      </c>
      <c r="C15" s="55">
        <v>3417.18</v>
      </c>
      <c r="D15" s="56">
        <v>354.23</v>
      </c>
      <c r="E15" s="48"/>
    </row>
    <row r="16" spans="2:13" x14ac:dyDescent="0.25">
      <c r="B16" s="54">
        <f t="shared" si="0"/>
        <v>3417.19</v>
      </c>
      <c r="C16" s="55">
        <v>5335.42</v>
      </c>
      <c r="D16" s="56">
        <v>324.87</v>
      </c>
      <c r="E16" s="48"/>
    </row>
    <row r="17" spans="2:5" x14ac:dyDescent="0.25">
      <c r="B17" s="54">
        <f t="shared" si="0"/>
        <v>5335.43</v>
      </c>
      <c r="C17" s="55">
        <v>6224.67</v>
      </c>
      <c r="D17" s="56">
        <v>294.63</v>
      </c>
      <c r="E17" s="48"/>
    </row>
    <row r="18" spans="2:5" x14ac:dyDescent="0.25">
      <c r="B18" s="54">
        <f t="shared" si="0"/>
        <v>6224.68</v>
      </c>
      <c r="C18" s="55">
        <v>7113.9</v>
      </c>
      <c r="D18" s="56">
        <v>253.54</v>
      </c>
      <c r="E18" s="48"/>
    </row>
    <row r="19" spans="2:5" x14ac:dyDescent="0.25">
      <c r="B19" s="54">
        <f t="shared" si="0"/>
        <v>7113.91</v>
      </c>
      <c r="C19" s="55">
        <v>7382.33</v>
      </c>
      <c r="D19" s="56">
        <v>217.61</v>
      </c>
      <c r="E19" s="48"/>
    </row>
    <row r="20" spans="2:5" ht="15.75" thickBot="1" x14ac:dyDescent="0.3">
      <c r="B20" s="54">
        <f t="shared" si="0"/>
        <v>7382.34</v>
      </c>
      <c r="C20" s="57">
        <v>999999999.99000001</v>
      </c>
      <c r="D20" s="58">
        <v>0</v>
      </c>
      <c r="E20" s="48"/>
    </row>
  </sheetData>
  <mergeCells count="3">
    <mergeCell ref="B6:D6"/>
    <mergeCell ref="B7:D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Organismo</vt:lpstr>
      <vt:lpstr>Trabajadores</vt:lpstr>
      <vt:lpstr>Percepciones</vt:lpstr>
      <vt:lpstr>Deducciones</vt:lpstr>
      <vt:lpstr>HorasExtra</vt:lpstr>
      <vt:lpstr>OtrosPagos</vt:lpstr>
      <vt:lpstr>Cat</vt:lpstr>
      <vt:lpstr>tablas isr art. 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Mendoza Toledo</dc:creator>
  <cp:lastModifiedBy>Carlos Huet</cp:lastModifiedBy>
  <dcterms:created xsi:type="dcterms:W3CDTF">2018-01-22T17:09:11Z</dcterms:created>
  <dcterms:modified xsi:type="dcterms:W3CDTF">2021-09-26T18:31:44Z</dcterms:modified>
</cp:coreProperties>
</file>